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Lonnetapp01\GEO Legacy Data\Live GEO Shared Data\GEO\Women's Economic Participation\WBC\WBC Website\Case Studies\CASE STUDIES\2013-14\STEM\"/>
    </mc:Choice>
  </mc:AlternateContent>
  <workbookProtection workbookAlgorithmName="SHA-512" workbookHashValue="qleHAsLrepyYCBSLlgW/QjO9EbjhUbucL5DNeDCZnGdyrbIN7UikZ4nEsD14+syXIohBNXKPgZcjOEFjqR++/A==" workbookSaltValue="KStI4F2vjtR9CB+ZNTW8Vw==" workbookSpinCount="100000" lockStructure="1"/>
  <bookViews>
    <workbookView showSheetTabs="0" xWindow="0" yWindow="0" windowWidth="19140" windowHeight="8145"/>
  </bookViews>
  <sheets>
    <sheet name="Dashboard" sheetId="1" r:id="rId1"/>
    <sheet name="Input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57" i="1" l="1"/>
  <c r="R59" i="1" s="1"/>
  <c r="R51" i="1"/>
  <c r="N51" i="1" s="1"/>
  <c r="N52" i="1" s="1"/>
  <c r="R45" i="1"/>
  <c r="R47" i="1" s="1"/>
  <c r="L57" i="1"/>
  <c r="L59" i="1" s="1"/>
  <c r="L51" i="1"/>
  <c r="H51" i="1" s="1"/>
  <c r="H52" i="1" s="1"/>
  <c r="L45" i="1"/>
  <c r="L47" i="1" s="1"/>
  <c r="J37" i="2"/>
  <c r="R56" i="1" s="1"/>
  <c r="Q56" i="1" s="1"/>
  <c r="Q58" i="1" s="1"/>
  <c r="J34" i="2"/>
  <c r="R50" i="1" s="1"/>
  <c r="Q50" i="1" s="1"/>
  <c r="Q52" i="1" s="1"/>
  <c r="J31" i="2"/>
  <c r="R44" i="1" s="1"/>
  <c r="Q44" i="1" s="1"/>
  <c r="Q46" i="1" s="1"/>
  <c r="J25" i="2"/>
  <c r="L56" i="1" s="1"/>
  <c r="K56" i="1" s="1"/>
  <c r="K58" i="1" s="1"/>
  <c r="J22" i="2"/>
  <c r="L50" i="1" s="1"/>
  <c r="K50" i="1" s="1"/>
  <c r="K52" i="1" s="1"/>
  <c r="J19" i="2"/>
  <c r="L44" i="1" s="1"/>
  <c r="K44" i="1" s="1"/>
  <c r="K46" i="1" s="1"/>
  <c r="N57" i="1" l="1"/>
  <c r="N58" i="1" s="1"/>
  <c r="N45" i="1"/>
  <c r="N46" i="1" s="1"/>
  <c r="H57" i="1"/>
  <c r="H58" i="1" s="1"/>
  <c r="L53" i="1"/>
  <c r="H45" i="1"/>
  <c r="H46" i="1" s="1"/>
  <c r="R53" i="1"/>
  <c r="E57" i="1"/>
  <c r="E59" i="1" s="1"/>
  <c r="E51" i="1"/>
  <c r="E53" i="1" s="1"/>
  <c r="J10" i="2"/>
  <c r="E50" i="1" s="1"/>
  <c r="E45" i="1"/>
  <c r="A45" i="1" l="1"/>
  <c r="A46" i="1" s="1"/>
  <c r="E47" i="1"/>
  <c r="A57" i="1"/>
  <c r="A58" i="1" s="1"/>
  <c r="A51" i="1"/>
  <c r="A52" i="1" s="1"/>
  <c r="J13" i="2"/>
  <c r="J7" i="2"/>
  <c r="E44" i="1" s="1"/>
  <c r="D44" i="1" s="1"/>
  <c r="D46" i="1" s="1"/>
  <c r="D50" i="1" l="1"/>
  <c r="D52" i="1" s="1"/>
  <c r="E56" i="1"/>
  <c r="D56" i="1" s="1"/>
  <c r="D58" i="1" s="1"/>
</calcChain>
</file>

<file path=xl/sharedStrings.xml><?xml version="1.0" encoding="utf-8"?>
<sst xmlns="http://schemas.openxmlformats.org/spreadsheetml/2006/main" count="78" uniqueCount="40">
  <si>
    <t>value</t>
  </si>
  <si>
    <t>pointer</t>
  </si>
  <si>
    <t>End</t>
  </si>
  <si>
    <t>Female</t>
  </si>
  <si>
    <t>Total</t>
  </si>
  <si>
    <t>% target of new female hires</t>
  </si>
  <si>
    <t>Attraction</t>
  </si>
  <si>
    <t>Progression</t>
  </si>
  <si>
    <t>Retention</t>
  </si>
  <si>
    <t>Other</t>
  </si>
  <si>
    <t>other</t>
  </si>
  <si>
    <t>Number of board members</t>
  </si>
  <si>
    <t>Number of senior executives</t>
  </si>
  <si>
    <t>Number of returners after parental leave</t>
  </si>
  <si>
    <t>% target of female returners after parental leave</t>
  </si>
  <si>
    <t>Number of employees on flexible working patterns</t>
  </si>
  <si>
    <t>% target of female employees on flexible working patterns</t>
  </si>
  <si>
    <t>Total number of new hires</t>
  </si>
  <si>
    <t>Number of applicants</t>
  </si>
  <si>
    <t>% target of female applicants</t>
  </si>
  <si>
    <t>Number of job offers</t>
  </si>
  <si>
    <t>% target of job offers to female candidates</t>
  </si>
  <si>
    <t xml:space="preserve">Total number of promotions </t>
  </si>
  <si>
    <t>% target of promotions by female employees</t>
  </si>
  <si>
    <t>% target of female board members</t>
  </si>
  <si>
    <t>% target of female senior executives</t>
  </si>
  <si>
    <t xml:space="preserve">Total number of voluntary leavers </t>
  </si>
  <si>
    <t>% target of female volunary leavers</t>
  </si>
  <si>
    <t>% new hires</t>
  </si>
  <si>
    <t xml:space="preserve"> % of applicants</t>
  </si>
  <si>
    <t>% job offers</t>
  </si>
  <si>
    <t>% of promotions</t>
  </si>
  <si>
    <t>% of board members</t>
  </si>
  <si>
    <t>% of senior executives</t>
  </si>
  <si>
    <t>% of voluntary leavers</t>
  </si>
  <si>
    <t>% of returners from parental leave</t>
  </si>
  <si>
    <t>% of employees on flexible work patterns</t>
  </si>
  <si>
    <t>WOMEN IN STEM - MEASURING SUCCESS</t>
  </si>
  <si>
    <t>INPUTS - complete shaded cells only</t>
  </si>
  <si>
    <t>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</si>
</sst>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00B05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rgb="FF0070C0"/>
      <name val="Calibri"/>
      <family val="2"/>
      <scheme val="minor"/>
    </font>
    <font>
      <b/>
      <sz val="18"/>
      <color theme="0" tint="-0.499984740745262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4">
    <xf numFmtId="0" fontId="0" fillId="0" borderId="0" xfId="0"/>
    <xf numFmtId="0" fontId="2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9" fontId="0" fillId="0" borderId="9" xfId="1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vertical="center"/>
    </xf>
    <xf numFmtId="0" fontId="2" fillId="0" borderId="0" xfId="0" applyFont="1" applyAlignment="1"/>
    <xf numFmtId="0" fontId="0" fillId="3" borderId="9" xfId="0" applyFill="1" applyBorder="1" applyAlignment="1" applyProtection="1">
      <alignment horizontal="center" vertical="center" wrapText="1"/>
      <protection locked="0"/>
    </xf>
    <xf numFmtId="9" fontId="0" fillId="3" borderId="10" xfId="0" applyNumberFormat="1" applyFill="1" applyBorder="1" applyAlignment="1" applyProtection="1">
      <alignment horizontal="center" vertical="center" wrapText="1"/>
      <protection locked="0"/>
    </xf>
    <xf numFmtId="0" fontId="0" fillId="4" borderId="9" xfId="0" applyFill="1" applyBorder="1" applyAlignment="1" applyProtection="1">
      <alignment horizontal="center" vertical="center" wrapText="1"/>
      <protection locked="0"/>
    </xf>
    <xf numFmtId="9" fontId="0" fillId="4" borderId="10" xfId="0" applyNumberFormat="1" applyFill="1" applyBorder="1" applyAlignment="1" applyProtection="1">
      <alignment horizontal="center" vertical="center" wrapText="1"/>
      <protection locked="0"/>
    </xf>
    <xf numFmtId="0" fontId="0" fillId="5" borderId="9" xfId="0" applyFill="1" applyBorder="1" applyAlignment="1" applyProtection="1">
      <alignment horizontal="center" vertical="center" wrapText="1"/>
      <protection locked="0"/>
    </xf>
    <xf numFmtId="9" fontId="0" fillId="5" borderId="10" xfId="0" applyNumberFormat="1" applyFill="1" applyBorder="1" applyAlignment="1" applyProtection="1">
      <alignment horizontal="center" vertical="center" wrapText="1"/>
      <protection locked="0"/>
    </xf>
    <xf numFmtId="0" fontId="0" fillId="0" borderId="0" xfId="0" applyFont="1"/>
    <xf numFmtId="0" fontId="4" fillId="0" borderId="0" xfId="0" applyFont="1"/>
    <xf numFmtId="9" fontId="4" fillId="0" borderId="0" xfId="0" applyNumberFormat="1" applyFont="1"/>
    <xf numFmtId="0" fontId="3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8" fillId="0" borderId="0" xfId="0" applyFont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Dashboard!$A$43</c:f>
          <c:strCache>
            <c:ptCount val="1"/>
            <c:pt idx="0">
              <c:v>% new hires</c:v>
            </c:pt>
          </c:strCache>
        </c:strRef>
      </c:tx>
      <c:layout>
        <c:manualLayout>
          <c:xMode val="edge"/>
          <c:yMode val="edge"/>
          <c:x val="0.34412408840828196"/>
          <c:y val="3.8146936039752275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5208979573408991"/>
          <c:y val="0.20553006450224867"/>
          <c:w val="0.59086505393318955"/>
          <c:h val="0.79169993835256525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943-4834-8966-4FE53E95EF1F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943-4834-8966-4FE53E95EF1F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943-4834-8966-4FE53E95EF1F}"/>
              </c:ext>
            </c:extLst>
          </c:dPt>
          <c:dPt>
            <c:idx val="3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943-4834-8966-4FE53E95EF1F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943-4834-8966-4FE53E95EF1F}"/>
                </c:ext>
              </c:extLst>
            </c:dLbl>
            <c:dLbl>
              <c:idx val="1"/>
              <c:layout/>
              <c:tx>
                <c:strRef>
                  <c:f>Dashboard!$E$45</c:f>
                  <c:strCache>
                    <c:ptCount val="1"/>
                    <c:pt idx="0">
                      <c:v>50%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{688B9DA7-8CD7-4E01-B354-F403CC5D7CC8}</c15:txfldGUID>
                      <c15:f>Dashboard!$E$45</c15:f>
                      <c15:dlblFieldTableCache>
                        <c:ptCount val="1"/>
                        <c:pt idx="0">
                          <c:v>50%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5943-4834-8966-4FE53E95EF1F}"/>
                </c:ext>
              </c:extLst>
            </c:dLbl>
            <c:dLbl>
              <c:idx val="2"/>
              <c:layout/>
              <c:tx>
                <c:strRef>
                  <c:f>Dashboard!$E$47</c:f>
                  <c:strCache>
                    <c:ptCount val="1"/>
                    <c:pt idx="0">
                      <c:v>50%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{3D6A402E-041B-416E-89AE-A777F40930BA}</c15:txfldGUID>
                      <c15:f>Dashboard!$E$47</c15:f>
                      <c15:dlblFieldTableCache>
                        <c:ptCount val="1"/>
                        <c:pt idx="0">
                          <c:v>50%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5943-4834-8966-4FE53E95EF1F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943-4834-8966-4FE53E95EF1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Dashboard!$A$44:$A$47</c:f>
              <c:numCache>
                <c:formatCode>General</c:formatCode>
                <c:ptCount val="4"/>
                <c:pt idx="0">
                  <c:v>0</c:v>
                </c:pt>
                <c:pt idx="1">
                  <c:v>90</c:v>
                </c:pt>
                <c:pt idx="2">
                  <c:v>90</c:v>
                </c:pt>
                <c:pt idx="3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943-4834-8966-4FE53E95E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1"/>
        <c:holeSize val="50"/>
      </c:doughnutChart>
      <c:pieChart>
        <c:varyColors val="0"/>
        <c:ser>
          <c:idx val="1"/>
          <c:order val="1"/>
          <c:tx>
            <c:v>Pointer</c:v>
          </c:tx>
          <c:spPr>
            <a:solidFill>
              <a:schemeClr val="accent2"/>
            </a:solidFill>
            <a:ln w="19050">
              <a:solidFill>
                <a:schemeClr val="lt1"/>
              </a:solidFill>
            </a:ln>
            <a:effectLst/>
          </c:spPr>
          <c:explosion val="2"/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5943-4834-8966-4FE53E95EF1F}"/>
              </c:ext>
            </c:extLst>
          </c:dPt>
          <c:dPt>
            <c:idx val="1"/>
            <c:bubble3D val="0"/>
            <c:spPr>
              <a:solidFill>
                <a:schemeClr val="tx1">
                  <a:lumMod val="95000"/>
                  <a:lumOff val="5000"/>
                </a:schemeClr>
              </a:solidFill>
              <a:ln w="6350" cmpd="sng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5943-4834-8966-4FE53E95EF1F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5943-4834-8966-4FE53E95EF1F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943-4834-8966-4FE53E95EF1F}"/>
                </c:ext>
              </c:extLst>
            </c:dLbl>
            <c:dLbl>
              <c:idx val="1"/>
              <c:layout/>
              <c:tx>
                <c:strRef>
                  <c:f>Dashboard!$E$44</c:f>
                  <c:strCache>
                    <c:ptCount val="1"/>
                    <c:pt idx="0">
                      <c:v>30%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{9885136C-B313-4C8A-8B4F-0D5DCDB8633F}</c15:txfldGUID>
                      <c15:f>Dashboard!$E$44</c15:f>
                      <c15:dlblFieldTableCache>
                        <c:ptCount val="1"/>
                        <c:pt idx="0">
                          <c:v>30%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5943-4834-8966-4FE53E95EF1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943-4834-8966-4FE53E95EF1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Dashboard!$D$44:$D$46</c:f>
              <c:numCache>
                <c:formatCode>General</c:formatCode>
                <c:ptCount val="3"/>
                <c:pt idx="0">
                  <c:v>54</c:v>
                </c:pt>
                <c:pt idx="1">
                  <c:v>1</c:v>
                </c:pt>
                <c:pt idx="2">
                  <c:v>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943-4834-8966-4FE53E95E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Dashboard!$A$49</c:f>
          <c:strCache>
            <c:ptCount val="1"/>
            <c:pt idx="0">
              <c:v> % of applicants</c:v>
            </c:pt>
          </c:strCache>
        </c:strRef>
      </c:tx>
      <c:layout>
        <c:manualLayout>
          <c:xMode val="edge"/>
          <c:yMode val="edge"/>
          <c:x val="0.29510444272382491"/>
          <c:y val="3.8146936039752275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5208979573408991"/>
          <c:y val="0.20553006450224867"/>
          <c:w val="0.59086505393318955"/>
          <c:h val="0.79169993835256525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6FD-46C2-A545-2428AAB91BA5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6FD-46C2-A545-2428AAB91BA5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6FD-46C2-A545-2428AAB91BA5}"/>
              </c:ext>
            </c:extLst>
          </c:dPt>
          <c:dPt>
            <c:idx val="3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6FD-46C2-A545-2428AAB91BA5}"/>
              </c:ext>
            </c:extLst>
          </c:dPt>
          <c:dLbls>
            <c:dLbl>
              <c:idx val="1"/>
              <c:layout/>
              <c:tx>
                <c:strRef>
                  <c:f>Dashboard!$E$51</c:f>
                  <c:strCache>
                    <c:ptCount val="1"/>
                    <c:pt idx="0">
                      <c:v>30%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{86C30BAB-B4F5-4D45-9228-E184979E197B}</c15:txfldGUID>
                      <c15:f>Dashboard!$E$51</c15:f>
                      <c15:dlblFieldTableCache>
                        <c:ptCount val="1"/>
                        <c:pt idx="0">
                          <c:v>30%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66FD-46C2-A545-2428AAB91BA5}"/>
                </c:ext>
              </c:extLst>
            </c:dLbl>
            <c:dLbl>
              <c:idx val="2"/>
              <c:layout/>
              <c:tx>
                <c:strRef>
                  <c:f>Dashboard!$E$53</c:f>
                  <c:strCache>
                    <c:ptCount val="1"/>
                    <c:pt idx="0">
                      <c:v>70%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{2EFC3B3F-4DC9-4AD9-A5A9-FF3222D6F4B2}</c15:txfldGUID>
                      <c15:f>Dashboard!$E$53</c15:f>
                      <c15:dlblFieldTableCache>
                        <c:ptCount val="1"/>
                        <c:pt idx="0">
                          <c:v>70%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66FD-46C2-A545-2428AAB91B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Dashboard!$A$50:$A$53</c:f>
              <c:numCache>
                <c:formatCode>General</c:formatCode>
                <c:ptCount val="4"/>
                <c:pt idx="0">
                  <c:v>0</c:v>
                </c:pt>
                <c:pt idx="1">
                  <c:v>54</c:v>
                </c:pt>
                <c:pt idx="2">
                  <c:v>126</c:v>
                </c:pt>
                <c:pt idx="3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6FD-46C2-A545-2428AAB91B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1"/>
        <c:holeSize val="50"/>
      </c:doughnutChart>
      <c:pieChart>
        <c:varyColors val="0"/>
        <c:ser>
          <c:idx val="1"/>
          <c:order val="1"/>
          <c:spPr>
            <a:solidFill>
              <a:schemeClr val="accent2"/>
            </a:solidFill>
            <a:ln w="19050">
              <a:solidFill>
                <a:schemeClr val="lt1"/>
              </a:solidFill>
            </a:ln>
            <a:effectLst/>
          </c:spPr>
          <c:explosion val="2"/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66FD-46C2-A545-2428AAB91BA5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66FD-46C2-A545-2428AAB91BA5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66FD-46C2-A545-2428AAB91BA5}"/>
              </c:ext>
            </c:extLst>
          </c:dPt>
          <c:dLbls>
            <c:dLbl>
              <c:idx val="1"/>
              <c:layout/>
              <c:tx>
                <c:strRef>
                  <c:f>Dashboard!$E$50</c:f>
                  <c:strCache>
                    <c:ptCount val="1"/>
                    <c:pt idx="0">
                      <c:v>7%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{C0804A21-08C5-4EA0-8F66-49FC7B672B14}</c15:txfldGUID>
                      <c15:f>Dashboard!$E$50</c15:f>
                      <c15:dlblFieldTableCache>
                        <c:ptCount val="1"/>
                        <c:pt idx="0">
                          <c:v>7%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66FD-46C2-A545-2428AAB91B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Dashboard!$D$50:$D$52</c:f>
              <c:numCache>
                <c:formatCode>General</c:formatCode>
                <c:ptCount val="3"/>
                <c:pt idx="0">
                  <c:v>12</c:v>
                </c:pt>
                <c:pt idx="1">
                  <c:v>1</c:v>
                </c:pt>
                <c:pt idx="2">
                  <c:v>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6FD-46C2-A545-2428AAB91B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Dashboard!$A$55</c:f>
          <c:strCache>
            <c:ptCount val="1"/>
            <c:pt idx="0">
              <c:v>% job offers</c:v>
            </c:pt>
          </c:strCache>
        </c:strRef>
      </c:tx>
      <c:layout>
        <c:manualLayout>
          <c:xMode val="edge"/>
          <c:yMode val="edge"/>
          <c:x val="0.36877850579927035"/>
          <c:y val="1.03828347062644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5208979573408991"/>
          <c:y val="0.20553006450224867"/>
          <c:w val="0.59086505393318955"/>
          <c:h val="0.79169993835256525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56B-46AE-8F5B-44FF120F26CC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56B-46AE-8F5B-44FF120F26CC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56B-46AE-8F5B-44FF120F26CC}"/>
              </c:ext>
            </c:extLst>
          </c:dPt>
          <c:dPt>
            <c:idx val="3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56B-46AE-8F5B-44FF120F26CC}"/>
              </c:ext>
            </c:extLst>
          </c:dPt>
          <c:dLbls>
            <c:dLbl>
              <c:idx val="1"/>
              <c:layout/>
              <c:tx>
                <c:strRef>
                  <c:f>Dashboard!$E$57</c:f>
                  <c:strCache>
                    <c:ptCount val="1"/>
                    <c:pt idx="0">
                      <c:v>50%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{C0C0BEEB-3597-40F5-9A1A-70995C7E0E24}</c15:txfldGUID>
                      <c15:f>Dashboard!$E$57</c15:f>
                      <c15:dlblFieldTableCache>
                        <c:ptCount val="1"/>
                        <c:pt idx="0">
                          <c:v>50%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556B-46AE-8F5B-44FF120F26CC}"/>
                </c:ext>
              </c:extLst>
            </c:dLbl>
            <c:dLbl>
              <c:idx val="2"/>
              <c:layout/>
              <c:tx>
                <c:strRef>
                  <c:f>Dashboard!$E$59</c:f>
                  <c:strCache>
                    <c:ptCount val="1"/>
                    <c:pt idx="0">
                      <c:v>50%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{34F7DD86-AE91-4F58-8F71-D4BC39CB25B3}</c15:txfldGUID>
                      <c15:f>Dashboard!$E$59</c15:f>
                      <c15:dlblFieldTableCache>
                        <c:ptCount val="1"/>
                        <c:pt idx="0">
                          <c:v>50%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556B-46AE-8F5B-44FF120F26C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Dashboard!$A$56:$A$59</c:f>
              <c:numCache>
                <c:formatCode>General</c:formatCode>
                <c:ptCount val="4"/>
                <c:pt idx="0">
                  <c:v>0</c:v>
                </c:pt>
                <c:pt idx="1">
                  <c:v>90</c:v>
                </c:pt>
                <c:pt idx="2">
                  <c:v>90</c:v>
                </c:pt>
                <c:pt idx="3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56B-46AE-8F5B-44FF120F26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1"/>
        <c:holeSize val="50"/>
      </c:doughnutChart>
      <c:pieChart>
        <c:varyColors val="0"/>
        <c:ser>
          <c:idx val="1"/>
          <c:order val="1"/>
          <c:spPr>
            <a:solidFill>
              <a:schemeClr val="accent2"/>
            </a:solidFill>
            <a:ln w="19050">
              <a:solidFill>
                <a:schemeClr val="lt1"/>
              </a:solidFill>
            </a:ln>
            <a:effectLst/>
          </c:spPr>
          <c:explosion val="2"/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556B-46AE-8F5B-44FF120F26CC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556B-46AE-8F5B-44FF120F26CC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556B-46AE-8F5B-44FF120F26CC}"/>
              </c:ext>
            </c:extLst>
          </c:dPt>
          <c:dLbls>
            <c:dLbl>
              <c:idx val="1"/>
              <c:layout/>
              <c:tx>
                <c:strRef>
                  <c:f>Dashboard!$E$56</c:f>
                  <c:strCache>
                    <c:ptCount val="1"/>
                    <c:pt idx="0">
                      <c:v>28%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{D0A296E5-DD78-4334-8766-8EE7C62CF353}</c15:txfldGUID>
                      <c15:f>Dashboard!$E$56</c15:f>
                      <c15:dlblFieldTableCache>
                        <c:ptCount val="1"/>
                        <c:pt idx="0">
                          <c:v>28%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556B-46AE-8F5B-44FF120F26C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Dashboard!$D$56:$D$58</c:f>
              <c:numCache>
                <c:formatCode>General</c:formatCode>
                <c:ptCount val="3"/>
                <c:pt idx="0">
                  <c:v>50.400000000000006</c:v>
                </c:pt>
                <c:pt idx="1">
                  <c:v>1</c:v>
                </c:pt>
                <c:pt idx="2">
                  <c:v>308.60000000000002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56B-46AE-8F5B-44FF120F26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Dashboard!$H$43</c:f>
          <c:strCache>
            <c:ptCount val="1"/>
            <c:pt idx="0">
              <c:v>% of promotions</c:v>
            </c:pt>
          </c:strCache>
        </c:strRef>
      </c:tx>
      <c:layout>
        <c:manualLayout>
          <c:xMode val="edge"/>
          <c:yMode val="edge"/>
          <c:x val="0.30000640729227063"/>
          <c:y val="1.03828347062644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5208979573408991"/>
          <c:y val="0.20553006450224867"/>
          <c:w val="0.59086505393318955"/>
          <c:h val="0.79169993835256525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F54-492E-AE7B-C77CC2E9F374}"/>
              </c:ext>
            </c:extLst>
          </c:dPt>
          <c:dPt>
            <c:idx val="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F54-492E-AE7B-C77CC2E9F374}"/>
              </c:ext>
            </c:extLst>
          </c:dPt>
          <c:dPt>
            <c:idx val="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F54-492E-AE7B-C77CC2E9F374}"/>
              </c:ext>
            </c:extLst>
          </c:dPt>
          <c:dPt>
            <c:idx val="3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F54-492E-AE7B-C77CC2E9F374}"/>
              </c:ext>
            </c:extLst>
          </c:dPt>
          <c:dLbls>
            <c:dLbl>
              <c:idx val="1"/>
              <c:layout/>
              <c:tx>
                <c:strRef>
                  <c:f>Dashboard!$L$45</c:f>
                  <c:strCache>
                    <c:ptCount val="1"/>
                    <c:pt idx="0">
                      <c:v>40%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{ADA8AAFE-1D1A-408C-AE1F-3622F97DC502}</c15:txfldGUID>
                      <c15:f>Dashboard!$L$45</c15:f>
                      <c15:dlblFieldTableCache>
                        <c:ptCount val="1"/>
                        <c:pt idx="0">
                          <c:v>40%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3F54-492E-AE7B-C77CC2E9F374}"/>
                </c:ext>
              </c:extLst>
            </c:dLbl>
            <c:dLbl>
              <c:idx val="2"/>
              <c:layout/>
              <c:tx>
                <c:strRef>
                  <c:f>Dashboard!$L$47</c:f>
                  <c:strCache>
                    <c:ptCount val="1"/>
                    <c:pt idx="0">
                      <c:v>60%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{7E83924C-8C56-43DC-9454-A315C9D3D204}</c15:txfldGUID>
                      <c15:f>Dashboard!$L$47</c15:f>
                      <c15:dlblFieldTableCache>
                        <c:ptCount val="1"/>
                        <c:pt idx="0">
                          <c:v>60%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3F54-492E-AE7B-C77CC2E9F3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Dashboard!$H$44:$H$47</c:f>
              <c:numCache>
                <c:formatCode>General</c:formatCode>
                <c:ptCount val="4"/>
                <c:pt idx="0">
                  <c:v>0</c:v>
                </c:pt>
                <c:pt idx="1">
                  <c:v>72</c:v>
                </c:pt>
                <c:pt idx="2">
                  <c:v>108</c:v>
                </c:pt>
                <c:pt idx="3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F54-492E-AE7B-C77CC2E9F3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1"/>
        <c:holeSize val="50"/>
      </c:doughnutChart>
      <c:pieChart>
        <c:varyColors val="0"/>
        <c:ser>
          <c:idx val="1"/>
          <c:order val="1"/>
          <c:spPr>
            <a:solidFill>
              <a:schemeClr val="accent2"/>
            </a:solidFill>
            <a:ln w="19050">
              <a:solidFill>
                <a:schemeClr val="lt1"/>
              </a:solidFill>
            </a:ln>
            <a:effectLst/>
          </c:spPr>
          <c:explosion val="2"/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3F54-492E-AE7B-C77CC2E9F374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3F54-492E-AE7B-C77CC2E9F374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3F54-492E-AE7B-C77CC2E9F374}"/>
              </c:ext>
            </c:extLst>
          </c:dPt>
          <c:dLbls>
            <c:dLbl>
              <c:idx val="1"/>
              <c:layout/>
              <c:tx>
                <c:strRef>
                  <c:f>Dashboard!$L$44</c:f>
                  <c:strCache>
                    <c:ptCount val="1"/>
                    <c:pt idx="0">
                      <c:v>36%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{9E479937-2BCA-425B-BC19-2A86CEE80460}</c15:txfldGUID>
                      <c15:f>Dashboard!$L$44</c15:f>
                      <c15:dlblFieldTableCache>
                        <c:ptCount val="1"/>
                        <c:pt idx="0">
                          <c:v>36%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3F54-492E-AE7B-C77CC2E9F3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Dashboard!$K$44:$K$46</c:f>
              <c:numCache>
                <c:formatCode>General</c:formatCode>
                <c:ptCount val="3"/>
                <c:pt idx="0">
                  <c:v>64.285714285714292</c:v>
                </c:pt>
                <c:pt idx="1">
                  <c:v>1</c:v>
                </c:pt>
                <c:pt idx="2">
                  <c:v>294.71428571428572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F54-492E-AE7B-C77CC2E9F3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Dashboard!$H$49</c:f>
          <c:strCache>
            <c:ptCount val="1"/>
            <c:pt idx="0">
              <c:v>% of board members</c:v>
            </c:pt>
          </c:strCache>
        </c:strRef>
      </c:tx>
      <c:layout>
        <c:manualLayout>
          <c:xMode val="edge"/>
          <c:yMode val="edge"/>
          <c:x val="0.27059461988159628"/>
          <c:y val="3.814693603975225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5208979573408991"/>
          <c:y val="0.20553006450224867"/>
          <c:w val="0.59086505393318955"/>
          <c:h val="0.79169993835256525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2ED-4C82-A654-848CD8CC608F}"/>
              </c:ext>
            </c:extLst>
          </c:dPt>
          <c:dPt>
            <c:idx val="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2ED-4C82-A654-848CD8CC608F}"/>
              </c:ext>
            </c:extLst>
          </c:dPt>
          <c:dPt>
            <c:idx val="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2ED-4C82-A654-848CD8CC608F}"/>
              </c:ext>
            </c:extLst>
          </c:dPt>
          <c:dPt>
            <c:idx val="3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2ED-4C82-A654-848CD8CC608F}"/>
              </c:ext>
            </c:extLst>
          </c:dPt>
          <c:dLbls>
            <c:dLbl>
              <c:idx val="1"/>
              <c:layout/>
              <c:tx>
                <c:strRef>
                  <c:f>Dashboard!$L$51</c:f>
                  <c:strCache>
                    <c:ptCount val="1"/>
                    <c:pt idx="0">
                      <c:v>45%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{1CAB9FD4-6E1D-4A62-8792-9CA8DBCC9A7D}</c15:txfldGUID>
                      <c15:f>Dashboard!$L$51</c15:f>
                      <c15:dlblFieldTableCache>
                        <c:ptCount val="1"/>
                        <c:pt idx="0">
                          <c:v>45%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12ED-4C82-A654-848CD8CC608F}"/>
                </c:ext>
              </c:extLst>
            </c:dLbl>
            <c:dLbl>
              <c:idx val="2"/>
              <c:layout/>
              <c:tx>
                <c:strRef>
                  <c:f>Dashboard!$L$53</c:f>
                  <c:strCache>
                    <c:ptCount val="1"/>
                    <c:pt idx="0">
                      <c:v>55%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{F6615FA0-8593-4CA0-A88E-09602A13F032}</c15:txfldGUID>
                      <c15:f>Dashboard!$L$53</c15:f>
                      <c15:dlblFieldTableCache>
                        <c:ptCount val="1"/>
                        <c:pt idx="0">
                          <c:v>55%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12ED-4C82-A654-848CD8CC608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Dashboard!$H$50:$H$53</c:f>
              <c:numCache>
                <c:formatCode>General</c:formatCode>
                <c:ptCount val="4"/>
                <c:pt idx="0">
                  <c:v>0</c:v>
                </c:pt>
                <c:pt idx="1">
                  <c:v>81</c:v>
                </c:pt>
                <c:pt idx="2">
                  <c:v>99</c:v>
                </c:pt>
                <c:pt idx="3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2ED-4C82-A654-848CD8CC60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1"/>
        <c:holeSize val="50"/>
      </c:doughnutChart>
      <c:pieChart>
        <c:varyColors val="0"/>
        <c:ser>
          <c:idx val="1"/>
          <c:order val="1"/>
          <c:spPr>
            <a:solidFill>
              <a:schemeClr val="accent2"/>
            </a:solidFill>
            <a:ln w="19050">
              <a:solidFill>
                <a:schemeClr val="lt1"/>
              </a:solidFill>
            </a:ln>
            <a:effectLst/>
          </c:spPr>
          <c:explosion val="2"/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12ED-4C82-A654-848CD8CC608F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12ED-4C82-A654-848CD8CC608F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12ED-4C82-A654-848CD8CC608F}"/>
              </c:ext>
            </c:extLst>
          </c:dPt>
          <c:dLbls>
            <c:dLbl>
              <c:idx val="1"/>
              <c:layout/>
              <c:tx>
                <c:strRef>
                  <c:f>Dashboard!$L$50</c:f>
                  <c:strCache>
                    <c:ptCount val="1"/>
                    <c:pt idx="0">
                      <c:v>17%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{A9EC24A3-03F9-478F-8D7C-293D39836374}</c15:txfldGUID>
                      <c15:f>Dashboard!$L$50</c15:f>
                      <c15:dlblFieldTableCache>
                        <c:ptCount val="1"/>
                        <c:pt idx="0">
                          <c:v>17%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12ED-4C82-A654-848CD8CC608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Dashboard!$K$50:$K$52</c:f>
              <c:numCache>
                <c:formatCode>General</c:formatCode>
                <c:ptCount val="3"/>
                <c:pt idx="0">
                  <c:v>30</c:v>
                </c:pt>
                <c:pt idx="1">
                  <c:v>1</c:v>
                </c:pt>
                <c:pt idx="2">
                  <c:v>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2ED-4C82-A654-848CD8CC60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Dashboard!$N$43</c:f>
          <c:strCache>
            <c:ptCount val="1"/>
            <c:pt idx="0">
              <c:v>% of voluntary leavers</c:v>
            </c:pt>
          </c:strCache>
        </c:strRef>
      </c:tx>
      <c:layout>
        <c:manualLayout>
          <c:xMode val="edge"/>
          <c:yMode val="edge"/>
          <c:x val="0.25588872617625924"/>
          <c:y val="3.814693603975225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5208979573408991"/>
          <c:y val="0.20553006450224867"/>
          <c:w val="0.59086505393318955"/>
          <c:h val="0.79169993835256525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C89-4340-A365-60EAC78204DD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C89-4340-A365-60EAC78204DD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C89-4340-A365-60EAC78204DD}"/>
              </c:ext>
            </c:extLst>
          </c:dPt>
          <c:dPt>
            <c:idx val="3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C89-4340-A365-60EAC78204DD}"/>
              </c:ext>
            </c:extLst>
          </c:dPt>
          <c:dLbls>
            <c:dLbl>
              <c:idx val="1"/>
              <c:layout/>
              <c:tx>
                <c:strRef>
                  <c:f>Dashboard!$R$45</c:f>
                  <c:strCache>
                    <c:ptCount val="1"/>
                    <c:pt idx="0">
                      <c:v>50%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{5FF86D10-713B-444A-9166-6B3A78928805}</c15:txfldGUID>
                      <c15:f>Dashboard!$R$45</c15:f>
                      <c15:dlblFieldTableCache>
                        <c:ptCount val="1"/>
                        <c:pt idx="0">
                          <c:v>50%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8C89-4340-A365-60EAC78204DD}"/>
                </c:ext>
              </c:extLst>
            </c:dLbl>
            <c:dLbl>
              <c:idx val="2"/>
              <c:layout/>
              <c:tx>
                <c:strRef>
                  <c:f>Dashboard!$R$47</c:f>
                  <c:strCache>
                    <c:ptCount val="1"/>
                    <c:pt idx="0">
                      <c:v>50%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{BF8DD17A-84D0-45D5-8749-AA4B7EB435A4}</c15:txfldGUID>
                      <c15:f>Dashboard!$R$47</c15:f>
                      <c15:dlblFieldTableCache>
                        <c:ptCount val="1"/>
                        <c:pt idx="0">
                          <c:v>50%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8C89-4340-A365-60EAC78204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Dashboard!$N$44:$N$47</c:f>
              <c:numCache>
                <c:formatCode>General</c:formatCode>
                <c:ptCount val="4"/>
                <c:pt idx="0">
                  <c:v>0</c:v>
                </c:pt>
                <c:pt idx="1">
                  <c:v>90</c:v>
                </c:pt>
                <c:pt idx="2">
                  <c:v>90</c:v>
                </c:pt>
                <c:pt idx="3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C89-4340-A365-60EAC78204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1"/>
        <c:holeSize val="50"/>
      </c:doughnutChart>
      <c:pieChart>
        <c:varyColors val="0"/>
        <c:ser>
          <c:idx val="1"/>
          <c:order val="1"/>
          <c:spPr>
            <a:solidFill>
              <a:schemeClr val="accent2"/>
            </a:solidFill>
            <a:ln w="19050">
              <a:solidFill>
                <a:schemeClr val="lt1"/>
              </a:solidFill>
            </a:ln>
            <a:effectLst/>
          </c:spPr>
          <c:explosion val="2"/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8C89-4340-A365-60EAC78204DD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8C89-4340-A365-60EAC78204DD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8C89-4340-A365-60EAC78204DD}"/>
              </c:ext>
            </c:extLst>
          </c:dPt>
          <c:dLbls>
            <c:dLbl>
              <c:idx val="1"/>
              <c:layout/>
              <c:tx>
                <c:strRef>
                  <c:f>Dashboard!$R$44</c:f>
                  <c:strCache>
                    <c:ptCount val="1"/>
                    <c:pt idx="0">
                      <c:v>36%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{DB1C6CDA-E1A3-4C51-A073-AF175C354815}</c15:txfldGUID>
                      <c15:f>Dashboard!$R$44</c15:f>
                      <c15:dlblFieldTableCache>
                        <c:ptCount val="1"/>
                        <c:pt idx="0">
                          <c:v>36%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8C89-4340-A365-60EAC78204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Dashboard!$Q$44:$Q$46</c:f>
              <c:numCache>
                <c:formatCode>General</c:formatCode>
                <c:ptCount val="3"/>
                <c:pt idx="0">
                  <c:v>64.285714285714292</c:v>
                </c:pt>
                <c:pt idx="1">
                  <c:v>1</c:v>
                </c:pt>
                <c:pt idx="2">
                  <c:v>294.71428571428572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C89-4340-A365-60EAC78204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208979573408991"/>
          <c:y val="0.20553006450224867"/>
          <c:w val="0.59086505393318955"/>
          <c:h val="0.79169993835256525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740-497E-B65F-EEAEC42F0B43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740-497E-B65F-EEAEC42F0B43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740-497E-B65F-EEAEC42F0B43}"/>
              </c:ext>
            </c:extLst>
          </c:dPt>
          <c:dPt>
            <c:idx val="3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740-497E-B65F-EEAEC42F0B43}"/>
              </c:ext>
            </c:extLst>
          </c:dPt>
          <c:dLbls>
            <c:dLbl>
              <c:idx val="1"/>
              <c:layout/>
              <c:tx>
                <c:strRef>
                  <c:f>Dashboard!$R$51</c:f>
                  <c:strCache>
                    <c:ptCount val="1"/>
                    <c:pt idx="0">
                      <c:v>80%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{95EB6EF4-A8EA-45C6-8704-BB78B500D3BF}</c15:txfldGUID>
                      <c15:f>Dashboard!$R$51</c15:f>
                      <c15:dlblFieldTableCache>
                        <c:ptCount val="1"/>
                        <c:pt idx="0">
                          <c:v>80%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6740-497E-B65F-EEAEC42F0B43}"/>
                </c:ext>
              </c:extLst>
            </c:dLbl>
            <c:dLbl>
              <c:idx val="2"/>
              <c:layout/>
              <c:tx>
                <c:strRef>
                  <c:f>Dashboard!$R$53</c:f>
                  <c:strCache>
                    <c:ptCount val="1"/>
                    <c:pt idx="0">
                      <c:v>20%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{544CD483-162D-4A7F-8DE3-D22C200D1924}</c15:txfldGUID>
                      <c15:f>Dashboard!$R$53</c15:f>
                      <c15:dlblFieldTableCache>
                        <c:ptCount val="1"/>
                        <c:pt idx="0">
                          <c:v>20%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6740-497E-B65F-EEAEC42F0B4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Dashboard!$N$50:$N$53</c:f>
              <c:numCache>
                <c:formatCode>General</c:formatCode>
                <c:ptCount val="4"/>
                <c:pt idx="0">
                  <c:v>0</c:v>
                </c:pt>
                <c:pt idx="1">
                  <c:v>144</c:v>
                </c:pt>
                <c:pt idx="2">
                  <c:v>36</c:v>
                </c:pt>
                <c:pt idx="3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740-497E-B65F-EEAEC42F0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1"/>
        <c:holeSize val="50"/>
      </c:doughnutChart>
      <c:pieChart>
        <c:varyColors val="0"/>
        <c:ser>
          <c:idx val="1"/>
          <c:order val="1"/>
          <c:spPr>
            <a:solidFill>
              <a:schemeClr val="accent2"/>
            </a:solidFill>
            <a:ln w="19050">
              <a:solidFill>
                <a:schemeClr val="lt1"/>
              </a:solidFill>
            </a:ln>
            <a:effectLst/>
          </c:spPr>
          <c:explosion val="2"/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6740-497E-B65F-EEAEC42F0B43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6740-497E-B65F-EEAEC42F0B43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6740-497E-B65F-EEAEC42F0B43}"/>
              </c:ext>
            </c:extLst>
          </c:dPt>
          <c:dLbls>
            <c:dLbl>
              <c:idx val="1"/>
              <c:layout/>
              <c:tx>
                <c:strRef>
                  <c:f>Dashboard!$R$50</c:f>
                  <c:strCache>
                    <c:ptCount val="1"/>
                    <c:pt idx="0">
                      <c:v>67%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{3A77F457-3845-49B7-B71C-552AD6C6032A}</c15:txfldGUID>
                      <c15:f>Dashboard!$R$50</c15:f>
                      <c15:dlblFieldTableCache>
                        <c:ptCount val="1"/>
                        <c:pt idx="0">
                          <c:v>67%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6740-497E-B65F-EEAEC42F0B4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Dashboard!$Q$50:$Q$52</c:f>
              <c:numCache>
                <c:formatCode>General</c:formatCode>
                <c:ptCount val="3"/>
                <c:pt idx="0">
                  <c:v>120</c:v>
                </c:pt>
                <c:pt idx="1">
                  <c:v>1</c:v>
                </c:pt>
                <c:pt idx="2">
                  <c:v>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740-497E-B65F-EEAEC42F0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208979573408991"/>
          <c:y val="0.20553006450224867"/>
          <c:w val="0.59086505393318955"/>
          <c:h val="0.79169993835256525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21F-4F87-9902-2621EDD07290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21F-4F87-9902-2621EDD07290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21F-4F87-9902-2621EDD07290}"/>
              </c:ext>
            </c:extLst>
          </c:dPt>
          <c:dPt>
            <c:idx val="3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21F-4F87-9902-2621EDD07290}"/>
              </c:ext>
            </c:extLst>
          </c:dPt>
          <c:dLbls>
            <c:dLbl>
              <c:idx val="1"/>
              <c:layout/>
              <c:tx>
                <c:strRef>
                  <c:f>Dashboard!$R$57</c:f>
                  <c:strCache>
                    <c:ptCount val="1"/>
                    <c:pt idx="0">
                      <c:v>50%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{BC564732-3BBD-4E98-A736-0CF5FF72E829}</c15:txfldGUID>
                      <c15:f>Dashboard!$R$57</c15:f>
                      <c15:dlblFieldTableCache>
                        <c:ptCount val="1"/>
                        <c:pt idx="0">
                          <c:v>50%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F21F-4F87-9902-2621EDD07290}"/>
                </c:ext>
              </c:extLst>
            </c:dLbl>
            <c:dLbl>
              <c:idx val="2"/>
              <c:layout/>
              <c:tx>
                <c:strRef>
                  <c:f>Dashboard!$R$59</c:f>
                  <c:strCache>
                    <c:ptCount val="1"/>
                    <c:pt idx="0">
                      <c:v>50%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{92FE584D-9456-4A0B-B2A9-425740C59929}</c15:txfldGUID>
                      <c15:f>Dashboard!$R$59</c15:f>
                      <c15:dlblFieldTableCache>
                        <c:ptCount val="1"/>
                        <c:pt idx="0">
                          <c:v>50%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F21F-4F87-9902-2621EDD072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Dashboard!$N$56:$N$59</c:f>
              <c:numCache>
                <c:formatCode>General</c:formatCode>
                <c:ptCount val="4"/>
                <c:pt idx="0">
                  <c:v>0</c:v>
                </c:pt>
                <c:pt idx="1">
                  <c:v>90</c:v>
                </c:pt>
                <c:pt idx="2">
                  <c:v>90</c:v>
                </c:pt>
                <c:pt idx="3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21F-4F87-9902-2621EDD072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1"/>
        <c:holeSize val="50"/>
      </c:doughnutChart>
      <c:pieChart>
        <c:varyColors val="0"/>
        <c:ser>
          <c:idx val="1"/>
          <c:order val="1"/>
          <c:spPr>
            <a:solidFill>
              <a:schemeClr val="accent2"/>
            </a:solidFill>
            <a:ln w="19050">
              <a:solidFill>
                <a:schemeClr val="lt1"/>
              </a:solidFill>
            </a:ln>
            <a:effectLst/>
          </c:spPr>
          <c:explosion val="2"/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F21F-4F87-9902-2621EDD07290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F21F-4F87-9902-2621EDD0729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F21F-4F87-9902-2621EDD07290}"/>
              </c:ext>
            </c:extLst>
          </c:dPt>
          <c:dLbls>
            <c:dLbl>
              <c:idx val="1"/>
              <c:layout/>
              <c:tx>
                <c:strRef>
                  <c:f>Dashboard!$R$56</c:f>
                  <c:strCache>
                    <c:ptCount val="1"/>
                    <c:pt idx="0">
                      <c:v>33%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{CF8A0400-BE70-4AD0-A800-16EF22019287}</c15:txfldGUID>
                      <c15:f>Dashboard!$R$56</c15:f>
                      <c15:dlblFieldTableCache>
                        <c:ptCount val="1"/>
                        <c:pt idx="0">
                          <c:v>33%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F21F-4F87-9902-2621EDD072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Dashboard!$Q$56:$Q$58</c:f>
              <c:numCache>
                <c:formatCode>General</c:formatCode>
                <c:ptCount val="3"/>
                <c:pt idx="0">
                  <c:v>60</c:v>
                </c:pt>
                <c:pt idx="1">
                  <c:v>1</c:v>
                </c:pt>
                <c:pt idx="2">
                  <c:v>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21F-4F87-9902-2621EDD072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Dashboard!$H$55</c:f>
          <c:strCache>
            <c:ptCount val="1"/>
            <c:pt idx="0">
              <c:v>% of senior executives</c:v>
            </c:pt>
          </c:strCache>
        </c:strRef>
      </c:tx>
      <c:layout>
        <c:manualLayout>
          <c:xMode val="edge"/>
          <c:yMode val="edge"/>
          <c:x val="0.27059461988159628"/>
          <c:y val="3.814693603975225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5208979573408991"/>
          <c:y val="0.20553006450224867"/>
          <c:w val="0.59086505393318955"/>
          <c:h val="0.79169993835256525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03B-494C-84F0-26D9A279E507}"/>
              </c:ext>
            </c:extLst>
          </c:dPt>
          <c:dPt>
            <c:idx val="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03B-494C-84F0-26D9A279E507}"/>
              </c:ext>
            </c:extLst>
          </c:dPt>
          <c:dPt>
            <c:idx val="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03B-494C-84F0-26D9A279E507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003B-494C-84F0-26D9A279E507}"/>
              </c:ext>
            </c:extLst>
          </c:dPt>
          <c:dLbls>
            <c:dLbl>
              <c:idx val="1"/>
              <c:layout/>
              <c:tx>
                <c:strRef>
                  <c:f>Dashboard!$L$57</c:f>
                  <c:strCache>
                    <c:ptCount val="1"/>
                    <c:pt idx="0">
                      <c:v>50%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{5B59FBE0-2795-4BC2-B499-D3D1246868F7}</c15:txfldGUID>
                      <c15:f>Dashboard!$L$57</c15:f>
                      <c15:dlblFieldTableCache>
                        <c:ptCount val="1"/>
                        <c:pt idx="0">
                          <c:v>50%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003B-494C-84F0-26D9A279E507}"/>
                </c:ext>
              </c:extLst>
            </c:dLbl>
            <c:dLbl>
              <c:idx val="2"/>
              <c:layout/>
              <c:tx>
                <c:strRef>
                  <c:f>Dashboard!$L$59</c:f>
                  <c:strCache>
                    <c:ptCount val="1"/>
                    <c:pt idx="0">
                      <c:v>50%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{33314746-8DE3-4428-A09B-B28F540B5C56}</c15:txfldGUID>
                      <c15:f>Dashboard!$L$59</c15:f>
                      <c15:dlblFieldTableCache>
                        <c:ptCount val="1"/>
                        <c:pt idx="0">
                          <c:v>50%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003B-494C-84F0-26D9A279E50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Dashboard!$H$56:$H$59</c:f>
              <c:numCache>
                <c:formatCode>General</c:formatCode>
                <c:ptCount val="4"/>
                <c:pt idx="0">
                  <c:v>0</c:v>
                </c:pt>
                <c:pt idx="1">
                  <c:v>90</c:v>
                </c:pt>
                <c:pt idx="2">
                  <c:v>90</c:v>
                </c:pt>
                <c:pt idx="3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3B-494C-84F0-26D9A279E5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1"/>
        <c:holeSize val="50"/>
      </c:doughnutChart>
      <c:pieChart>
        <c:varyColors val="0"/>
        <c:ser>
          <c:idx val="1"/>
          <c:order val="1"/>
          <c:spPr>
            <a:solidFill>
              <a:schemeClr val="accent2"/>
            </a:solidFill>
            <a:ln w="19050">
              <a:solidFill>
                <a:schemeClr val="lt1"/>
              </a:solidFill>
            </a:ln>
            <a:effectLst/>
          </c:spPr>
          <c:explosion val="2"/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003B-494C-84F0-26D9A279E507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003B-494C-84F0-26D9A279E507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003B-494C-84F0-26D9A279E507}"/>
              </c:ext>
            </c:extLst>
          </c:dPt>
          <c:dLbls>
            <c:dLbl>
              <c:idx val="1"/>
              <c:layout/>
              <c:tx>
                <c:strRef>
                  <c:f>Dashboard!$L$56</c:f>
                  <c:strCache>
                    <c:ptCount val="1"/>
                    <c:pt idx="0">
                      <c:v>33%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{CC7107F3-16F7-41D4-97CE-92A01F6C0BCB}</c15:txfldGUID>
                      <c15:f>Dashboard!$L$56</c15:f>
                      <c15:dlblFieldTableCache>
                        <c:ptCount val="1"/>
                        <c:pt idx="0">
                          <c:v>33%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003B-494C-84F0-26D9A279E50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Dashboard!$K$56:$K$58</c:f>
              <c:numCache>
                <c:formatCode>General</c:formatCode>
                <c:ptCount val="3"/>
                <c:pt idx="0">
                  <c:v>60</c:v>
                </c:pt>
                <c:pt idx="1">
                  <c:v>1</c:v>
                </c:pt>
                <c:pt idx="2">
                  <c:v>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03B-494C-84F0-26D9A279E5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209553</xdr:colOff>
      <xdr:row>3</xdr:row>
      <xdr:rowOff>295274</xdr:rowOff>
    </xdr:from>
    <xdr:to>
      <xdr:col>5</xdr:col>
      <xdr:colOff>361951</xdr:colOff>
      <xdr:row>14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209550</xdr:colOff>
      <xdr:row>11</xdr:row>
      <xdr:rowOff>147637</xdr:rowOff>
    </xdr:from>
    <xdr:to>
      <xdr:col>5</xdr:col>
      <xdr:colOff>361948</xdr:colOff>
      <xdr:row>21</xdr:row>
      <xdr:rowOff>176213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209550</xdr:colOff>
      <xdr:row>19</xdr:row>
      <xdr:rowOff>157163</xdr:rowOff>
    </xdr:from>
    <xdr:to>
      <xdr:col>5</xdr:col>
      <xdr:colOff>361948</xdr:colOff>
      <xdr:row>29</xdr:row>
      <xdr:rowOff>185739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185737</xdr:colOff>
      <xdr:row>4</xdr:row>
      <xdr:rowOff>9525</xdr:rowOff>
    </xdr:from>
    <xdr:to>
      <xdr:col>11</xdr:col>
      <xdr:colOff>338135</xdr:colOff>
      <xdr:row>14</xdr:row>
      <xdr:rowOff>38101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185737</xdr:colOff>
      <xdr:row>11</xdr:row>
      <xdr:rowOff>119062</xdr:rowOff>
    </xdr:from>
    <xdr:to>
      <xdr:col>11</xdr:col>
      <xdr:colOff>338135</xdr:colOff>
      <xdr:row>21</xdr:row>
      <xdr:rowOff>147638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228600</xdr:colOff>
      <xdr:row>4</xdr:row>
      <xdr:rowOff>4762</xdr:rowOff>
    </xdr:from>
    <xdr:to>
      <xdr:col>17</xdr:col>
      <xdr:colOff>380998</xdr:colOff>
      <xdr:row>14</xdr:row>
      <xdr:rowOff>33338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228600</xdr:colOff>
      <xdr:row>11</xdr:row>
      <xdr:rowOff>109538</xdr:rowOff>
    </xdr:from>
    <xdr:to>
      <xdr:col>17</xdr:col>
      <xdr:colOff>380998</xdr:colOff>
      <xdr:row>21</xdr:row>
      <xdr:rowOff>138114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228600</xdr:colOff>
      <xdr:row>19</xdr:row>
      <xdr:rowOff>147638</xdr:rowOff>
    </xdr:from>
    <xdr:to>
      <xdr:col>17</xdr:col>
      <xdr:colOff>380998</xdr:colOff>
      <xdr:row>29</xdr:row>
      <xdr:rowOff>176214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438150</xdr:colOff>
      <xdr:row>11</xdr:row>
      <xdr:rowOff>90488</xdr:rowOff>
    </xdr:from>
    <xdr:to>
      <xdr:col>17</xdr:col>
      <xdr:colOff>466726</xdr:colOff>
      <xdr:row>13</xdr:row>
      <xdr:rowOff>47626</xdr:rowOff>
    </xdr:to>
    <xdr:sp macro="" textlink="">
      <xdr:nvSpPr>
        <xdr:cNvPr id="18" name="TextBox 1"/>
        <xdr:cNvSpPr txBox="1"/>
      </xdr:nvSpPr>
      <xdr:spPr>
        <a:xfrm>
          <a:off x="7400925" y="5719763"/>
          <a:ext cx="2466976" cy="338138"/>
        </a:xfrm>
        <a:prstGeom prst="rect">
          <a:avLst/>
        </a:prstGeom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n-GB" sz="1100" b="1"/>
            <a:t>% of returners after parental leave</a:t>
          </a:r>
        </a:p>
      </xdr:txBody>
    </xdr:sp>
    <xdr:clientData/>
  </xdr:twoCellAnchor>
  <xdr:twoCellAnchor>
    <xdr:from>
      <xdr:col>2</xdr:col>
      <xdr:colOff>490550</xdr:colOff>
      <xdr:row>27</xdr:row>
      <xdr:rowOff>119049</xdr:rowOff>
    </xdr:from>
    <xdr:to>
      <xdr:col>3</xdr:col>
      <xdr:colOff>66688</xdr:colOff>
      <xdr:row>27</xdr:row>
      <xdr:rowOff>176199</xdr:rowOff>
    </xdr:to>
    <xdr:sp macro="" textlink="">
      <xdr:nvSpPr>
        <xdr:cNvPr id="3" name="Rectangle 2"/>
        <xdr:cNvSpPr/>
      </xdr:nvSpPr>
      <xdr:spPr>
        <a:xfrm>
          <a:off x="1709750" y="8796324"/>
          <a:ext cx="185738" cy="5715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509600</xdr:colOff>
      <xdr:row>28</xdr:row>
      <xdr:rowOff>66663</xdr:rowOff>
    </xdr:from>
    <xdr:to>
      <xdr:col>3</xdr:col>
      <xdr:colOff>33343</xdr:colOff>
      <xdr:row>28</xdr:row>
      <xdr:rowOff>71426</xdr:rowOff>
    </xdr:to>
    <xdr:cxnSp macro="">
      <xdr:nvCxnSpPr>
        <xdr:cNvPr id="20" name="Straight Connector 19"/>
        <xdr:cNvCxnSpPr/>
      </xdr:nvCxnSpPr>
      <xdr:spPr>
        <a:xfrm>
          <a:off x="1728800" y="8934438"/>
          <a:ext cx="133343" cy="4763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</xdr:col>
      <xdr:colOff>9530</xdr:colOff>
      <xdr:row>26</xdr:row>
      <xdr:rowOff>90476</xdr:rowOff>
    </xdr:from>
    <xdr:ext cx="1000915" cy="468013"/>
    <xdr:sp macro="" textlink="">
      <xdr:nvSpPr>
        <xdr:cNvPr id="21" name="TextBox 20"/>
        <xdr:cNvSpPr txBox="1"/>
      </xdr:nvSpPr>
      <xdr:spPr>
        <a:xfrm>
          <a:off x="1838330" y="8577251"/>
          <a:ext cx="100091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800"/>
            <a:t>- Female target</a:t>
          </a:r>
        </a:p>
        <a:p>
          <a:r>
            <a:rPr lang="en-GB" sz="800"/>
            <a:t>- Non female target</a:t>
          </a:r>
        </a:p>
        <a:p>
          <a:r>
            <a:rPr lang="en-GB" sz="800"/>
            <a:t>- Female</a:t>
          </a:r>
          <a:r>
            <a:rPr lang="en-GB" sz="800" baseline="0"/>
            <a:t> actual</a:t>
          </a:r>
          <a:endParaRPr lang="en-GB" sz="800"/>
        </a:p>
      </xdr:txBody>
    </xdr:sp>
    <xdr:clientData/>
  </xdr:oneCellAnchor>
  <xdr:twoCellAnchor>
    <xdr:from>
      <xdr:col>2</xdr:col>
      <xdr:colOff>490540</xdr:colOff>
      <xdr:row>26</xdr:row>
      <xdr:rowOff>180959</xdr:rowOff>
    </xdr:from>
    <xdr:to>
      <xdr:col>3</xdr:col>
      <xdr:colOff>66678</xdr:colOff>
      <xdr:row>27</xdr:row>
      <xdr:rowOff>47609</xdr:rowOff>
    </xdr:to>
    <xdr:sp macro="" textlink="">
      <xdr:nvSpPr>
        <xdr:cNvPr id="22" name="Rectangle 21"/>
        <xdr:cNvSpPr/>
      </xdr:nvSpPr>
      <xdr:spPr>
        <a:xfrm>
          <a:off x="1709740" y="8667734"/>
          <a:ext cx="185738" cy="57150"/>
        </a:xfrm>
        <a:prstGeom prst="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185737</xdr:colOff>
      <xdr:row>19</xdr:row>
      <xdr:rowOff>152400</xdr:rowOff>
    </xdr:from>
    <xdr:to>
      <xdr:col>11</xdr:col>
      <xdr:colOff>338135</xdr:colOff>
      <xdr:row>29</xdr:row>
      <xdr:rowOff>180976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18</xdr:col>
      <xdr:colOff>376238</xdr:colOff>
      <xdr:row>1</xdr:row>
      <xdr:rowOff>204788</xdr:rowOff>
    </xdr:from>
    <xdr:to>
      <xdr:col>20</xdr:col>
      <xdr:colOff>333375</xdr:colOff>
      <xdr:row>4</xdr:row>
      <xdr:rowOff>166688</xdr:rowOff>
    </xdr:to>
    <xdr:sp macro="[0]!GotoInput" textlink="">
      <xdr:nvSpPr>
        <xdr:cNvPr id="28" name="Rectangle 27"/>
        <xdr:cNvSpPr/>
      </xdr:nvSpPr>
      <xdr:spPr>
        <a:xfrm>
          <a:off x="10341769" y="311944"/>
          <a:ext cx="1171575" cy="676275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GB" sz="1100" b="1">
              <a:solidFill>
                <a:schemeClr val="tx1"/>
              </a:solidFill>
            </a:rPr>
            <a:t>Click</a:t>
          </a:r>
          <a:r>
            <a:rPr lang="en-GB" sz="1100" b="1" baseline="0">
              <a:solidFill>
                <a:schemeClr val="tx1"/>
              </a:solidFill>
            </a:rPr>
            <a:t> to go to inputs</a:t>
          </a:r>
          <a:endParaRPr lang="en-GB" sz="1100" b="1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0.00919</cdr:x>
      <cdr:y>5.17176E-7</cdr:y>
    </cdr:from>
    <cdr:to>
      <cdr:x>0.9614</cdr:x>
      <cdr:y>0.17488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3812" y="1"/>
          <a:ext cx="2466976" cy="33813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100" b="1"/>
            <a:t>% of employees on flexible work patterns</a:t>
          </a:r>
        </a:p>
      </cdr:txBody>
    </cdr:sp>
  </cdr:relSizeAnchor>
  <cdr:relSizeAnchor xmlns:cdr="http://schemas.openxmlformats.org/drawingml/2006/chartDrawing">
    <cdr:from>
      <cdr:x>0.38174</cdr:x>
      <cdr:y>0.77997</cdr:y>
    </cdr:from>
    <cdr:to>
      <cdr:x>0.45344</cdr:x>
      <cdr:y>0.80952</cdr:y>
    </cdr:to>
    <cdr:sp macro="" textlink="">
      <cdr:nvSpPr>
        <cdr:cNvPr id="4" name="Rectangle 3"/>
        <cdr:cNvSpPr/>
      </cdr:nvSpPr>
      <cdr:spPr>
        <a:xfrm xmlns:a="http://schemas.openxmlformats.org/drawingml/2006/main">
          <a:off x="989022" y="1508123"/>
          <a:ext cx="185738" cy="57150"/>
        </a:xfrm>
        <a:prstGeom xmlns:a="http://schemas.openxmlformats.org/drawingml/2006/main" prst="rect">
          <a:avLst/>
        </a:prstGeom>
        <a:solidFill xmlns:a="http://schemas.openxmlformats.org/drawingml/2006/main">
          <a:srgbClr val="0070C0"/>
        </a:solidFill>
        <a:ln xmlns:a="http://schemas.openxmlformats.org/drawingml/2006/main">
          <a:solidFill>
            <a:srgbClr val="0070C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en-GB" sz="1100"/>
        </a:p>
      </cdr:txBody>
    </cdr:sp>
  </cdr:relSizeAnchor>
  <cdr:relSizeAnchor xmlns:cdr="http://schemas.openxmlformats.org/drawingml/2006/chartDrawing">
    <cdr:from>
      <cdr:x>0.3891</cdr:x>
      <cdr:y>0.8514</cdr:y>
    </cdr:from>
    <cdr:to>
      <cdr:x>0.44057</cdr:x>
      <cdr:y>0.85386</cdr:y>
    </cdr:to>
    <cdr:cxnSp macro="">
      <cdr:nvCxnSpPr>
        <cdr:cNvPr id="5" name="Straight Connector 4"/>
        <cdr:cNvCxnSpPr/>
      </cdr:nvCxnSpPr>
      <cdr:spPr>
        <a:xfrm xmlns:a="http://schemas.openxmlformats.org/drawingml/2006/main">
          <a:off x="1008072" y="1646237"/>
          <a:ext cx="133343" cy="4763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tx1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0.43137</cdr:x>
      <cdr:y>0.66667</cdr:y>
    </cdr:from>
    <cdr:to>
      <cdr:x>0.81771</cdr:x>
      <cdr:y>0.90871</cdr:y>
    </cdr:to>
    <cdr:sp macro="" textlink="">
      <cdr:nvSpPr>
        <cdr:cNvPr id="6" name="TextBox 20"/>
        <cdr:cNvSpPr txBox="1"/>
      </cdr:nvSpPr>
      <cdr:spPr>
        <a:xfrm xmlns:a="http://schemas.openxmlformats.org/drawingml/2006/main">
          <a:off x="1117602" y="1289050"/>
          <a:ext cx="1000915" cy="468013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800"/>
            <a:t>- Female target</a:t>
          </a:r>
        </a:p>
        <a:p xmlns:a="http://schemas.openxmlformats.org/drawingml/2006/main">
          <a:r>
            <a:rPr lang="en-GB" sz="800"/>
            <a:t>- Non female target</a:t>
          </a:r>
        </a:p>
        <a:p xmlns:a="http://schemas.openxmlformats.org/drawingml/2006/main">
          <a:r>
            <a:rPr lang="en-GB" sz="800"/>
            <a:t>- Female</a:t>
          </a:r>
          <a:r>
            <a:rPr lang="en-GB" sz="800" baseline="0"/>
            <a:t> actual</a:t>
          </a:r>
          <a:endParaRPr lang="en-GB" sz="800"/>
        </a:p>
      </cdr:txBody>
    </cdr:sp>
  </cdr:relSizeAnchor>
  <cdr:relSizeAnchor xmlns:cdr="http://schemas.openxmlformats.org/drawingml/2006/chartDrawing">
    <cdr:from>
      <cdr:x>0.38174</cdr:x>
      <cdr:y>0.71346</cdr:y>
    </cdr:from>
    <cdr:to>
      <cdr:x>0.45343</cdr:x>
      <cdr:y>0.74302</cdr:y>
    </cdr:to>
    <cdr:sp macro="" textlink="">
      <cdr:nvSpPr>
        <cdr:cNvPr id="7" name="Rectangle 6"/>
        <cdr:cNvSpPr/>
      </cdr:nvSpPr>
      <cdr:spPr>
        <a:xfrm xmlns:a="http://schemas.openxmlformats.org/drawingml/2006/main">
          <a:off x="989012" y="1379533"/>
          <a:ext cx="185738" cy="57150"/>
        </a:xfrm>
        <a:prstGeom xmlns:a="http://schemas.openxmlformats.org/drawingml/2006/main" prst="rect">
          <a:avLst/>
        </a:prstGeom>
        <a:solidFill xmlns:a="http://schemas.openxmlformats.org/drawingml/2006/main">
          <a:srgbClr val="00B0F0"/>
        </a:solidFill>
        <a:ln xmlns:a="http://schemas.openxmlformats.org/drawingml/2006/main">
          <a:solidFill>
            <a:srgbClr val="00B0F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en-GB" sz="11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0.35969</cdr:x>
      <cdr:y>0.77504</cdr:y>
    </cdr:from>
    <cdr:to>
      <cdr:x>0.43138</cdr:x>
      <cdr:y>0.8046</cdr:y>
    </cdr:to>
    <cdr:sp macro="" textlink="">
      <cdr:nvSpPr>
        <cdr:cNvPr id="2" name="Rectangle 1"/>
        <cdr:cNvSpPr/>
      </cdr:nvSpPr>
      <cdr:spPr>
        <a:xfrm xmlns:a="http://schemas.openxmlformats.org/drawingml/2006/main">
          <a:off x="931873" y="1498598"/>
          <a:ext cx="185738" cy="5715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50000"/>
          </a:schemeClr>
        </a:solidFill>
        <a:ln xmlns:a="http://schemas.openxmlformats.org/drawingml/2006/main">
          <a:solidFill>
            <a:schemeClr val="bg1">
              <a:lumMod val="50000"/>
            </a:schemeClr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en-GB" sz="1100"/>
        </a:p>
      </cdr:txBody>
    </cdr:sp>
  </cdr:relSizeAnchor>
  <cdr:relSizeAnchor xmlns:cdr="http://schemas.openxmlformats.org/drawingml/2006/chartDrawing">
    <cdr:from>
      <cdr:x>0.36704</cdr:x>
      <cdr:y>0.84647</cdr:y>
    </cdr:from>
    <cdr:to>
      <cdr:x>0.41851</cdr:x>
      <cdr:y>0.84893</cdr:y>
    </cdr:to>
    <cdr:cxnSp macro="">
      <cdr:nvCxnSpPr>
        <cdr:cNvPr id="3" name="Straight Connector 2"/>
        <cdr:cNvCxnSpPr/>
      </cdr:nvCxnSpPr>
      <cdr:spPr>
        <a:xfrm xmlns:a="http://schemas.openxmlformats.org/drawingml/2006/main">
          <a:off x="950923" y="1636712"/>
          <a:ext cx="133343" cy="4763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tx1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0.40932</cdr:x>
      <cdr:y>0.66174</cdr:y>
    </cdr:from>
    <cdr:to>
      <cdr:x>0.79565</cdr:x>
      <cdr:y>0.90379</cdr:y>
    </cdr:to>
    <cdr:sp macro="" textlink="">
      <cdr:nvSpPr>
        <cdr:cNvPr id="4" name="TextBox 20"/>
        <cdr:cNvSpPr txBox="1"/>
      </cdr:nvSpPr>
      <cdr:spPr>
        <a:xfrm xmlns:a="http://schemas.openxmlformats.org/drawingml/2006/main">
          <a:off x="1060453" y="1279525"/>
          <a:ext cx="1000915" cy="468013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800"/>
            <a:t>- Female target</a:t>
          </a:r>
        </a:p>
        <a:p xmlns:a="http://schemas.openxmlformats.org/drawingml/2006/main">
          <a:r>
            <a:rPr lang="en-GB" sz="800"/>
            <a:t>- Non female target</a:t>
          </a:r>
        </a:p>
        <a:p xmlns:a="http://schemas.openxmlformats.org/drawingml/2006/main">
          <a:r>
            <a:rPr lang="en-GB" sz="800"/>
            <a:t>- Female</a:t>
          </a:r>
          <a:r>
            <a:rPr lang="en-GB" sz="800" baseline="0"/>
            <a:t> actual</a:t>
          </a:r>
          <a:endParaRPr lang="en-GB" sz="800"/>
        </a:p>
      </cdr:txBody>
    </cdr:sp>
  </cdr:relSizeAnchor>
  <cdr:relSizeAnchor xmlns:cdr="http://schemas.openxmlformats.org/drawingml/2006/chartDrawing">
    <cdr:from>
      <cdr:x>0.35968</cdr:x>
      <cdr:y>0.70854</cdr:y>
    </cdr:from>
    <cdr:to>
      <cdr:x>0.43137</cdr:x>
      <cdr:y>0.73809</cdr:y>
    </cdr:to>
    <cdr:sp macro="" textlink="">
      <cdr:nvSpPr>
        <cdr:cNvPr id="5" name="Rectangle 4"/>
        <cdr:cNvSpPr/>
      </cdr:nvSpPr>
      <cdr:spPr>
        <a:xfrm xmlns:a="http://schemas.openxmlformats.org/drawingml/2006/main">
          <a:off x="931863" y="1370008"/>
          <a:ext cx="185738" cy="5715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75000"/>
          </a:schemeClr>
        </a:solidFill>
        <a:ln xmlns:a="http://schemas.openxmlformats.org/drawingml/2006/main">
          <a:solidFill>
            <a:schemeClr val="bg1">
              <a:lumMod val="75000"/>
            </a:schemeClr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en-GB" sz="1100"/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190500</xdr:colOff>
      <xdr:row>4</xdr:row>
      <xdr:rowOff>57151</xdr:rowOff>
    </xdr:from>
    <xdr:to>
      <xdr:col>3</xdr:col>
      <xdr:colOff>9525</xdr:colOff>
      <xdr:row>14</xdr:row>
      <xdr:rowOff>144740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9575" y="771526"/>
          <a:ext cx="1038225" cy="1783039"/>
        </a:xfrm>
        <a:prstGeom prst="rect">
          <a:avLst/>
        </a:prstGeom>
      </xdr:spPr>
    </xdr:pic>
    <xdr:clientData/>
  </xdr:twoCellAnchor>
  <xdr:twoCellAnchor editAs="oneCell">
    <xdr:from>
      <xdr:col>1</xdr:col>
      <xdr:colOff>238126</xdr:colOff>
      <xdr:row>16</xdr:row>
      <xdr:rowOff>55980</xdr:rowOff>
    </xdr:from>
    <xdr:to>
      <xdr:col>3</xdr:col>
      <xdr:colOff>0</xdr:colOff>
      <xdr:row>26</xdr:row>
      <xdr:rowOff>184983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57201" y="2732505"/>
          <a:ext cx="981074" cy="1824453"/>
        </a:xfrm>
        <a:prstGeom prst="rect">
          <a:avLst/>
        </a:prstGeom>
      </xdr:spPr>
    </xdr:pic>
    <xdr:clientData/>
  </xdr:twoCellAnchor>
  <xdr:twoCellAnchor editAs="oneCell">
    <xdr:from>
      <xdr:col>1</xdr:col>
      <xdr:colOff>247650</xdr:colOff>
      <xdr:row>28</xdr:row>
      <xdr:rowOff>9524</xdr:rowOff>
    </xdr:from>
    <xdr:to>
      <xdr:col>2</xdr:col>
      <xdr:colOff>604896</xdr:colOff>
      <xdr:row>38</xdr:row>
      <xdr:rowOff>161925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66725" y="4657724"/>
          <a:ext cx="966846" cy="1847851"/>
        </a:xfrm>
        <a:prstGeom prst="rect">
          <a:avLst/>
        </a:prstGeom>
      </xdr:spPr>
    </xdr:pic>
    <xdr:clientData/>
  </xdr:twoCellAnchor>
  <xdr:twoCellAnchor>
    <xdr:from>
      <xdr:col>7</xdr:col>
      <xdr:colOff>133351</xdr:colOff>
      <xdr:row>1</xdr:row>
      <xdr:rowOff>3174</xdr:rowOff>
    </xdr:from>
    <xdr:to>
      <xdr:col>10</xdr:col>
      <xdr:colOff>101600</xdr:colOff>
      <xdr:row>3</xdr:row>
      <xdr:rowOff>12700</xdr:rowOff>
    </xdr:to>
    <xdr:sp macro="[0]!GotoDashboard" textlink="">
      <xdr:nvSpPr>
        <xdr:cNvPr id="7" name="Rectangle 6"/>
        <xdr:cNvSpPr/>
      </xdr:nvSpPr>
      <xdr:spPr>
        <a:xfrm>
          <a:off x="6153151" y="66674"/>
          <a:ext cx="1797049" cy="517526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GB" sz="1200" b="1">
              <a:solidFill>
                <a:schemeClr val="tx1"/>
              </a:solidFill>
            </a:rPr>
            <a:t>Click to see summary dashboard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R91"/>
  <sheetViews>
    <sheetView showGridLines="0" showRowColHeaders="0" tabSelected="1" zoomScaleNormal="100" workbookViewId="0">
      <selection activeCell="AA21" sqref="AA21"/>
    </sheetView>
  </sheetViews>
  <sheetFormatPr defaultRowHeight="14.25" x14ac:dyDescent="0.45"/>
  <cols>
    <col min="7" max="7" width="2" customWidth="1"/>
    <col min="13" max="13" width="1.86328125" customWidth="1"/>
  </cols>
  <sheetData>
    <row r="1" spans="2:18" ht="8.25" customHeight="1" x14ac:dyDescent="0.45"/>
    <row r="2" spans="2:18" ht="18" customHeight="1" x14ac:dyDescent="0.45">
      <c r="C2" s="29" t="s">
        <v>37</v>
      </c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</row>
    <row r="3" spans="2:18" x14ac:dyDescent="0.45"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</row>
    <row r="4" spans="2:18" s="1" customFormat="1" ht="23.25" x14ac:dyDescent="0.7">
      <c r="B4" s="26" t="s">
        <v>6</v>
      </c>
      <c r="C4" s="26"/>
      <c r="D4" s="26"/>
      <c r="E4" s="26"/>
      <c r="F4" s="26"/>
      <c r="H4" s="27" t="s">
        <v>7</v>
      </c>
      <c r="I4" s="27"/>
      <c r="J4" s="27"/>
      <c r="K4" s="27"/>
      <c r="L4" s="27"/>
      <c r="N4" s="28" t="s">
        <v>8</v>
      </c>
      <c r="O4" s="28"/>
      <c r="P4" s="28"/>
      <c r="Q4" s="28"/>
      <c r="R4" s="28"/>
    </row>
    <row r="31" s="23" customFormat="1" x14ac:dyDescent="0.45"/>
    <row r="32" s="23" customFormat="1" x14ac:dyDescent="0.45"/>
    <row r="33" spans="1:18" s="23" customFormat="1" x14ac:dyDescent="0.45"/>
    <row r="34" spans="1:18" s="23" customFormat="1" x14ac:dyDescent="0.45"/>
    <row r="35" spans="1:18" s="24" customFormat="1" x14ac:dyDescent="0.45"/>
    <row r="36" spans="1:18" s="24" customFormat="1" x14ac:dyDescent="0.45"/>
    <row r="37" spans="1:18" s="24" customFormat="1" x14ac:dyDescent="0.45"/>
    <row r="38" spans="1:18" s="24" customFormat="1" x14ac:dyDescent="0.45"/>
    <row r="39" spans="1:18" s="24" customFormat="1" x14ac:dyDescent="0.45"/>
    <row r="40" spans="1:18" s="24" customFormat="1" x14ac:dyDescent="0.45"/>
    <row r="41" spans="1:18" s="24" customFormat="1" x14ac:dyDescent="0.45"/>
    <row r="42" spans="1:18" s="24" customFormat="1" x14ac:dyDescent="0.45"/>
    <row r="43" spans="1:18" s="24" customFormat="1" x14ac:dyDescent="0.45">
      <c r="A43" s="24" t="s">
        <v>28</v>
      </c>
      <c r="H43" s="24" t="s">
        <v>31</v>
      </c>
      <c r="N43" s="24" t="s">
        <v>34</v>
      </c>
    </row>
    <row r="44" spans="1:18" s="24" customFormat="1" x14ac:dyDescent="0.45">
      <c r="A44" s="24">
        <v>0</v>
      </c>
      <c r="C44" s="24" t="s">
        <v>0</v>
      </c>
      <c r="D44" s="24">
        <f>(180/E46)*E44</f>
        <v>54</v>
      </c>
      <c r="E44" s="25">
        <f>Input!J7</f>
        <v>0.3</v>
      </c>
      <c r="H44" s="24">
        <v>0</v>
      </c>
      <c r="J44" s="24" t="s">
        <v>0</v>
      </c>
      <c r="K44" s="24">
        <f>(180/L46)*L44</f>
        <v>64.285714285714292</v>
      </c>
      <c r="L44" s="25">
        <f>Input!J19</f>
        <v>0.35714285714285715</v>
      </c>
      <c r="N44" s="24">
        <v>0</v>
      </c>
      <c r="P44" s="24" t="s">
        <v>0</v>
      </c>
      <c r="Q44" s="24">
        <f>(180/R46)*R44</f>
        <v>64.285714285714292</v>
      </c>
      <c r="R44" s="25">
        <f>Input!J31</f>
        <v>0.35714285714285715</v>
      </c>
    </row>
    <row r="45" spans="1:18" s="24" customFormat="1" x14ac:dyDescent="0.45">
      <c r="A45" s="24">
        <f>E45*180</f>
        <v>90</v>
      </c>
      <c r="C45" s="24" t="s">
        <v>1</v>
      </c>
      <c r="D45" s="24">
        <v>1</v>
      </c>
      <c r="E45" s="25">
        <f>Input!J8</f>
        <v>0.5</v>
      </c>
      <c r="H45" s="24">
        <f>L45*180</f>
        <v>72</v>
      </c>
      <c r="J45" s="24" t="s">
        <v>1</v>
      </c>
      <c r="K45" s="24">
        <v>1</v>
      </c>
      <c r="L45" s="25">
        <f>Input!J20</f>
        <v>0.4</v>
      </c>
      <c r="N45" s="24">
        <f>R45*180</f>
        <v>90</v>
      </c>
      <c r="P45" s="24" t="s">
        <v>1</v>
      </c>
      <c r="Q45" s="24">
        <v>1</v>
      </c>
      <c r="R45" s="25">
        <f>Input!J32</f>
        <v>0.5</v>
      </c>
    </row>
    <row r="46" spans="1:18" s="24" customFormat="1" x14ac:dyDescent="0.45">
      <c r="A46" s="24">
        <f>180-A45</f>
        <v>90</v>
      </c>
      <c r="C46" s="24" t="s">
        <v>2</v>
      </c>
      <c r="D46" s="24">
        <f>360-D44-D45</f>
        <v>305</v>
      </c>
      <c r="E46" s="25">
        <v>1</v>
      </c>
      <c r="H46" s="24">
        <f>180-H45</f>
        <v>108</v>
      </c>
      <c r="J46" s="24" t="s">
        <v>2</v>
      </c>
      <c r="K46" s="24">
        <f>360-K44-K45</f>
        <v>294.71428571428572</v>
      </c>
      <c r="L46" s="25">
        <v>1</v>
      </c>
      <c r="N46" s="24">
        <f>180-N45</f>
        <v>90</v>
      </c>
      <c r="P46" s="24" t="s">
        <v>2</v>
      </c>
      <c r="Q46" s="24">
        <f>360-Q44-Q45</f>
        <v>294.71428571428572</v>
      </c>
      <c r="R46" s="25">
        <v>1</v>
      </c>
    </row>
    <row r="47" spans="1:18" s="24" customFormat="1" x14ac:dyDescent="0.45">
      <c r="A47" s="24">
        <v>180</v>
      </c>
      <c r="C47" s="24" t="s">
        <v>10</v>
      </c>
      <c r="E47" s="25">
        <f>1-E45</f>
        <v>0.5</v>
      </c>
      <c r="H47" s="24">
        <v>180</v>
      </c>
      <c r="J47" s="24" t="s">
        <v>9</v>
      </c>
      <c r="L47" s="25">
        <f>1-L45</f>
        <v>0.6</v>
      </c>
      <c r="N47" s="24">
        <v>180</v>
      </c>
      <c r="P47" s="24" t="s">
        <v>10</v>
      </c>
      <c r="R47" s="25">
        <f>1-R45</f>
        <v>0.5</v>
      </c>
    </row>
    <row r="48" spans="1:18" s="24" customFormat="1" x14ac:dyDescent="0.45"/>
    <row r="49" spans="1:18" s="24" customFormat="1" x14ac:dyDescent="0.45">
      <c r="A49" s="24" t="s">
        <v>29</v>
      </c>
      <c r="H49" s="24" t="s">
        <v>32</v>
      </c>
      <c r="N49" s="24" t="s">
        <v>35</v>
      </c>
    </row>
    <row r="50" spans="1:18" s="24" customFormat="1" x14ac:dyDescent="0.45">
      <c r="A50" s="24">
        <v>0</v>
      </c>
      <c r="C50" s="24" t="s">
        <v>0</v>
      </c>
      <c r="D50" s="24">
        <f>(180/E52)*E50</f>
        <v>12</v>
      </c>
      <c r="E50" s="25">
        <f>Input!J10</f>
        <v>6.6666666666666666E-2</v>
      </c>
      <c r="H50" s="24">
        <v>0</v>
      </c>
      <c r="J50" s="24" t="s">
        <v>0</v>
      </c>
      <c r="K50" s="24">
        <f>(180/L52)*L50</f>
        <v>30</v>
      </c>
      <c r="L50" s="25">
        <f>Input!J22</f>
        <v>0.16666666666666666</v>
      </c>
      <c r="N50" s="24">
        <v>0</v>
      </c>
      <c r="P50" s="24" t="s">
        <v>0</v>
      </c>
      <c r="Q50" s="24">
        <f>(180/R52)*R50</f>
        <v>120</v>
      </c>
      <c r="R50" s="25">
        <f>Input!J34</f>
        <v>0.66666666666666663</v>
      </c>
    </row>
    <row r="51" spans="1:18" s="24" customFormat="1" x14ac:dyDescent="0.45">
      <c r="A51" s="24">
        <f>E51*180</f>
        <v>54</v>
      </c>
      <c r="C51" s="24" t="s">
        <v>1</v>
      </c>
      <c r="D51" s="24">
        <v>1</v>
      </c>
      <c r="E51" s="25">
        <f>Input!J11</f>
        <v>0.3</v>
      </c>
      <c r="H51" s="24">
        <f>L51*180</f>
        <v>81</v>
      </c>
      <c r="J51" s="24" t="s">
        <v>1</v>
      </c>
      <c r="K51" s="24">
        <v>1</v>
      </c>
      <c r="L51" s="25">
        <f>Input!J23</f>
        <v>0.45</v>
      </c>
      <c r="N51" s="24">
        <f>R51*180</f>
        <v>144</v>
      </c>
      <c r="P51" s="24" t="s">
        <v>1</v>
      </c>
      <c r="Q51" s="24">
        <v>1</v>
      </c>
      <c r="R51" s="25">
        <f>Input!J35</f>
        <v>0.8</v>
      </c>
    </row>
    <row r="52" spans="1:18" s="24" customFormat="1" x14ac:dyDescent="0.45">
      <c r="A52" s="24">
        <f>180-A51</f>
        <v>126</v>
      </c>
      <c r="C52" s="24" t="s">
        <v>2</v>
      </c>
      <c r="D52" s="24">
        <f>360-D50-D51</f>
        <v>347</v>
      </c>
      <c r="E52" s="25">
        <v>1</v>
      </c>
      <c r="H52" s="24">
        <f>180-H51</f>
        <v>99</v>
      </c>
      <c r="J52" s="24" t="s">
        <v>2</v>
      </c>
      <c r="K52" s="24">
        <f>360-K50-K51</f>
        <v>329</v>
      </c>
      <c r="L52" s="25">
        <v>1</v>
      </c>
      <c r="N52" s="24">
        <f>180-N51</f>
        <v>36</v>
      </c>
      <c r="P52" s="24" t="s">
        <v>2</v>
      </c>
      <c r="Q52" s="24">
        <f>360-Q50-Q51</f>
        <v>239</v>
      </c>
      <c r="R52" s="25">
        <v>1</v>
      </c>
    </row>
    <row r="53" spans="1:18" s="24" customFormat="1" x14ac:dyDescent="0.45">
      <c r="A53" s="24">
        <v>180</v>
      </c>
      <c r="C53" s="24" t="s">
        <v>10</v>
      </c>
      <c r="E53" s="25">
        <f>1-E51</f>
        <v>0.7</v>
      </c>
      <c r="H53" s="24">
        <v>180</v>
      </c>
      <c r="J53" s="24" t="s">
        <v>10</v>
      </c>
      <c r="L53" s="25">
        <f>1-L51</f>
        <v>0.55000000000000004</v>
      </c>
      <c r="N53" s="24">
        <v>180</v>
      </c>
      <c r="P53" s="24" t="s">
        <v>10</v>
      </c>
      <c r="R53" s="25">
        <f>1-R51</f>
        <v>0.19999999999999996</v>
      </c>
    </row>
    <row r="54" spans="1:18" s="24" customFormat="1" x14ac:dyDescent="0.45"/>
    <row r="55" spans="1:18" s="24" customFormat="1" x14ac:dyDescent="0.45">
      <c r="A55" s="24" t="s">
        <v>30</v>
      </c>
      <c r="H55" s="24" t="s">
        <v>33</v>
      </c>
      <c r="N55" s="24" t="s">
        <v>36</v>
      </c>
    </row>
    <row r="56" spans="1:18" s="24" customFormat="1" x14ac:dyDescent="0.45">
      <c r="A56" s="24">
        <v>0</v>
      </c>
      <c r="C56" s="24" t="s">
        <v>0</v>
      </c>
      <c r="D56" s="24">
        <f>(180/E58)*E56</f>
        <v>50.400000000000006</v>
      </c>
      <c r="E56" s="25">
        <f>Input!J13</f>
        <v>0.28000000000000003</v>
      </c>
      <c r="H56" s="24">
        <v>0</v>
      </c>
      <c r="J56" s="24" t="s">
        <v>0</v>
      </c>
      <c r="K56" s="24">
        <f>(180/L58)*L56</f>
        <v>60</v>
      </c>
      <c r="L56" s="25">
        <f>Input!J25</f>
        <v>0.33333333333333331</v>
      </c>
      <c r="N56" s="24">
        <v>0</v>
      </c>
      <c r="P56" s="24" t="s">
        <v>0</v>
      </c>
      <c r="Q56" s="24">
        <f>(180/R58)*R56</f>
        <v>60</v>
      </c>
      <c r="R56" s="25">
        <f>Input!J37</f>
        <v>0.33333333333333331</v>
      </c>
    </row>
    <row r="57" spans="1:18" s="24" customFormat="1" x14ac:dyDescent="0.45">
      <c r="A57" s="24">
        <f>E57*180</f>
        <v>90</v>
      </c>
      <c r="C57" s="24" t="s">
        <v>1</v>
      </c>
      <c r="D57" s="24">
        <v>1</v>
      </c>
      <c r="E57" s="25">
        <f>Input!J14</f>
        <v>0.5</v>
      </c>
      <c r="H57" s="24">
        <f>L57*180</f>
        <v>90</v>
      </c>
      <c r="J57" s="24" t="s">
        <v>1</v>
      </c>
      <c r="K57" s="24">
        <v>1</v>
      </c>
      <c r="L57" s="25">
        <f>Input!J26</f>
        <v>0.5</v>
      </c>
      <c r="N57" s="24">
        <f>R57*180</f>
        <v>90</v>
      </c>
      <c r="P57" s="24" t="s">
        <v>1</v>
      </c>
      <c r="Q57" s="24">
        <v>1</v>
      </c>
      <c r="R57" s="25">
        <f>Input!J38</f>
        <v>0.5</v>
      </c>
    </row>
    <row r="58" spans="1:18" s="24" customFormat="1" x14ac:dyDescent="0.45">
      <c r="A58" s="24">
        <f>180-A57</f>
        <v>90</v>
      </c>
      <c r="C58" s="24" t="s">
        <v>2</v>
      </c>
      <c r="D58" s="24">
        <f>360-D56-D57</f>
        <v>308.60000000000002</v>
      </c>
      <c r="E58" s="25">
        <v>1</v>
      </c>
      <c r="H58" s="24">
        <f>180-H57</f>
        <v>90</v>
      </c>
      <c r="J58" s="24" t="s">
        <v>2</v>
      </c>
      <c r="K58" s="24">
        <f>360-K56-K57</f>
        <v>299</v>
      </c>
      <c r="L58" s="25">
        <v>1</v>
      </c>
      <c r="N58" s="24">
        <f>180-N57</f>
        <v>90</v>
      </c>
      <c r="P58" s="24" t="s">
        <v>2</v>
      </c>
      <c r="Q58" s="24">
        <f>360-Q56-Q57</f>
        <v>299</v>
      </c>
      <c r="R58" s="25">
        <v>1</v>
      </c>
    </row>
    <row r="59" spans="1:18" s="24" customFormat="1" x14ac:dyDescent="0.45">
      <c r="A59" s="24">
        <v>180</v>
      </c>
      <c r="C59" s="24" t="s">
        <v>10</v>
      </c>
      <c r="E59" s="25">
        <f>1-E57</f>
        <v>0.5</v>
      </c>
      <c r="H59" s="24">
        <v>180</v>
      </c>
      <c r="J59" s="24" t="s">
        <v>10</v>
      </c>
      <c r="L59" s="25">
        <f>1-L57</f>
        <v>0.5</v>
      </c>
      <c r="N59" s="24">
        <v>180</v>
      </c>
      <c r="P59" s="24" t="s">
        <v>10</v>
      </c>
      <c r="R59" s="25">
        <f>1-R57</f>
        <v>0.5</v>
      </c>
    </row>
    <row r="60" spans="1:18" s="24" customFormat="1" x14ac:dyDescent="0.45"/>
    <row r="61" spans="1:18" s="24" customFormat="1" x14ac:dyDescent="0.45"/>
    <row r="62" spans="1:18" s="24" customFormat="1" x14ac:dyDescent="0.45"/>
    <row r="63" spans="1:18" s="24" customFormat="1" x14ac:dyDescent="0.45"/>
    <row r="64" spans="1:18" s="24" customFormat="1" x14ac:dyDescent="0.45"/>
    <row r="65" s="24" customFormat="1" x14ac:dyDescent="0.45"/>
    <row r="66" s="24" customFormat="1" x14ac:dyDescent="0.45"/>
    <row r="67" s="24" customFormat="1" x14ac:dyDescent="0.45"/>
    <row r="68" s="24" customFormat="1" x14ac:dyDescent="0.45"/>
    <row r="69" s="24" customFormat="1" x14ac:dyDescent="0.45"/>
    <row r="70" s="24" customFormat="1" x14ac:dyDescent="0.45"/>
    <row r="71" s="24" customFormat="1" x14ac:dyDescent="0.45"/>
    <row r="72" s="24" customFormat="1" x14ac:dyDescent="0.45"/>
    <row r="73" s="24" customFormat="1" x14ac:dyDescent="0.45"/>
    <row r="74" s="24" customFormat="1" x14ac:dyDescent="0.45"/>
    <row r="75" s="24" customFormat="1" x14ac:dyDescent="0.45"/>
    <row r="76" s="24" customFormat="1" x14ac:dyDescent="0.45"/>
    <row r="77" s="24" customFormat="1" x14ac:dyDescent="0.45"/>
    <row r="78" s="24" customFormat="1" x14ac:dyDescent="0.45"/>
    <row r="79" s="24" customFormat="1" x14ac:dyDescent="0.45"/>
    <row r="80" s="24" customFormat="1" x14ac:dyDescent="0.45"/>
    <row r="81" s="24" customFormat="1" x14ac:dyDescent="0.45"/>
    <row r="82" s="24" customFormat="1" x14ac:dyDescent="0.45"/>
    <row r="83" s="24" customFormat="1" x14ac:dyDescent="0.45"/>
    <row r="84" s="24" customFormat="1" x14ac:dyDescent="0.45"/>
    <row r="85" s="24" customFormat="1" x14ac:dyDescent="0.45"/>
    <row r="86" s="24" customFormat="1" x14ac:dyDescent="0.45"/>
    <row r="87" s="24" customFormat="1" x14ac:dyDescent="0.45"/>
    <row r="88" s="24" customFormat="1" x14ac:dyDescent="0.45"/>
    <row r="89" s="24" customFormat="1" x14ac:dyDescent="0.45"/>
    <row r="90" s="24" customFormat="1" x14ac:dyDescent="0.45"/>
    <row r="91" s="24" customFormat="1" x14ac:dyDescent="0.45"/>
  </sheetData>
  <sheetProtection algorithmName="SHA-512" hashValue="9pmpAj08T1oBIUT+Vi5Fdo5fbssyd5W0Sy7MDAbebTKudhqzofzEjMkRnftH6L/2toK8ZHhswOVy4/O/yfzd4g==" saltValue="uOp88jNxZH+aX5qW0/uK/g==" spinCount="100000" sheet="1" objects="1" scenarios="1"/>
  <mergeCells count="4">
    <mergeCell ref="B4:F4"/>
    <mergeCell ref="H4:L4"/>
    <mergeCell ref="N4:R4"/>
    <mergeCell ref="C2:R3"/>
  </mergeCells>
  <pageMargins left="0.7" right="0.7" top="0.75" bottom="0.75" header="0.3" footer="0.3"/>
  <pageSetup paperSize="9" orientation="portrait" r:id="rId1"/>
  <headerFooter>
    <oddFooter>&amp;L&amp;"Arial,Regular"&amp;08&amp;K7F7F7FAmgen Proprietary - For Internal Use Only</oddFooter>
    <evenFooter>&amp;L&amp;"Arial,Regular"&amp;08&amp;K7F7F7FAmgen Proprietary - For Internal Use Only</evenFooter>
    <firstFooter>&amp;L&amp;"Arial,Regular"&amp;08&amp;K7F7F7FAmgen Proprietary - For Internal Use Only</first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B1:K39"/>
  <sheetViews>
    <sheetView showGridLines="0" showRowColHeaders="0" zoomScaleNormal="100" workbookViewId="0"/>
  </sheetViews>
  <sheetFormatPr defaultRowHeight="14.25" x14ac:dyDescent="0.45"/>
  <cols>
    <col min="1" max="1" width="13.265625" customWidth="1"/>
    <col min="4" max="4" width="3" customWidth="1"/>
    <col min="7" max="7" width="37.265625" customWidth="1"/>
    <col min="11" max="11" width="2.86328125" customWidth="1"/>
  </cols>
  <sheetData>
    <row r="1" spans="2:11" ht="5.25" customHeight="1" x14ac:dyDescent="0.45"/>
    <row r="2" spans="2:11" s="14" customFormat="1" ht="24.75" customHeight="1" x14ac:dyDescent="0.45">
      <c r="B2" s="32" t="s">
        <v>37</v>
      </c>
      <c r="C2" s="32"/>
      <c r="D2" s="32"/>
      <c r="E2" s="32"/>
      <c r="F2" s="32"/>
      <c r="G2" s="32"/>
      <c r="H2" s="15"/>
      <c r="I2" s="15"/>
      <c r="J2" s="15"/>
      <c r="K2" s="15"/>
    </row>
    <row r="3" spans="2:11" x14ac:dyDescent="0.45">
      <c r="B3" s="33" t="s">
        <v>38</v>
      </c>
      <c r="C3" s="33"/>
      <c r="D3" s="33"/>
      <c r="E3" s="33"/>
      <c r="F3" s="33"/>
      <c r="G3" s="33"/>
      <c r="H3" s="16"/>
      <c r="I3" s="16"/>
      <c r="J3" s="16"/>
      <c r="K3" s="16"/>
    </row>
    <row r="4" spans="2:11" ht="7.5" customHeight="1" x14ac:dyDescent="0.45"/>
    <row r="5" spans="2:11" x14ac:dyDescent="0.45">
      <c r="B5" s="2"/>
      <c r="C5" s="3"/>
      <c r="D5" s="3"/>
      <c r="E5" s="3"/>
      <c r="F5" s="3"/>
      <c r="G5" s="3"/>
      <c r="H5" s="3"/>
      <c r="I5" s="3"/>
      <c r="J5" s="3"/>
      <c r="K5" s="4"/>
    </row>
    <row r="6" spans="2:11" x14ac:dyDescent="0.45">
      <c r="B6" s="5"/>
      <c r="C6" s="6"/>
      <c r="D6" s="6"/>
      <c r="E6" s="6"/>
      <c r="F6" s="6"/>
      <c r="G6" s="6"/>
      <c r="H6" s="12" t="s">
        <v>3</v>
      </c>
      <c r="I6" s="12" t="s">
        <v>4</v>
      </c>
      <c r="J6" s="12" t="s">
        <v>39</v>
      </c>
      <c r="K6" s="7"/>
    </row>
    <row r="7" spans="2:11" x14ac:dyDescent="0.45">
      <c r="B7" s="5"/>
      <c r="C7" s="6"/>
      <c r="D7" s="6"/>
      <c r="E7" s="2" t="s">
        <v>17</v>
      </c>
      <c r="F7" s="3"/>
      <c r="G7" s="3"/>
      <c r="H7" s="17">
        <v>6</v>
      </c>
      <c r="I7" s="17">
        <v>20</v>
      </c>
      <c r="J7" s="13">
        <f>H7/I7</f>
        <v>0.3</v>
      </c>
      <c r="K7" s="7"/>
    </row>
    <row r="8" spans="2:11" x14ac:dyDescent="0.45">
      <c r="B8" s="5"/>
      <c r="C8" s="6"/>
      <c r="D8" s="6"/>
      <c r="E8" s="8" t="s">
        <v>5</v>
      </c>
      <c r="F8" s="9"/>
      <c r="G8" s="9"/>
      <c r="H8" s="30"/>
      <c r="I8" s="31"/>
      <c r="J8" s="18">
        <v>0.5</v>
      </c>
      <c r="K8" s="7"/>
    </row>
    <row r="9" spans="2:11" ht="6.75" customHeight="1" x14ac:dyDescent="0.45">
      <c r="B9" s="5"/>
      <c r="C9" s="6"/>
      <c r="D9" s="6"/>
      <c r="E9" s="6"/>
      <c r="F9" s="6"/>
      <c r="G9" s="6"/>
      <c r="H9" s="11"/>
      <c r="I9" s="11"/>
      <c r="J9" s="11"/>
      <c r="K9" s="7"/>
    </row>
    <row r="10" spans="2:11" x14ac:dyDescent="0.45">
      <c r="B10" s="5"/>
      <c r="C10" s="6"/>
      <c r="D10" s="6"/>
      <c r="E10" s="2" t="s">
        <v>18</v>
      </c>
      <c r="F10" s="3"/>
      <c r="G10" s="3"/>
      <c r="H10" s="17">
        <v>10</v>
      </c>
      <c r="I10" s="17">
        <v>150</v>
      </c>
      <c r="J10" s="13">
        <f>H10/I10</f>
        <v>6.6666666666666666E-2</v>
      </c>
      <c r="K10" s="7"/>
    </row>
    <row r="11" spans="2:11" x14ac:dyDescent="0.45">
      <c r="B11" s="5"/>
      <c r="C11" s="6"/>
      <c r="D11" s="6"/>
      <c r="E11" s="8" t="s">
        <v>19</v>
      </c>
      <c r="F11" s="9"/>
      <c r="G11" s="9"/>
      <c r="H11" s="30"/>
      <c r="I11" s="31"/>
      <c r="J11" s="18">
        <v>0.3</v>
      </c>
      <c r="K11" s="7"/>
    </row>
    <row r="12" spans="2:11" ht="6.75" customHeight="1" x14ac:dyDescent="0.45">
      <c r="B12" s="5"/>
      <c r="C12" s="6"/>
      <c r="D12" s="6"/>
      <c r="E12" s="6"/>
      <c r="F12" s="6"/>
      <c r="G12" s="6"/>
      <c r="H12" s="11"/>
      <c r="I12" s="11"/>
      <c r="J12" s="11"/>
      <c r="K12" s="7"/>
    </row>
    <row r="13" spans="2:11" x14ac:dyDescent="0.45">
      <c r="B13" s="5"/>
      <c r="C13" s="6"/>
      <c r="D13" s="6"/>
      <c r="E13" s="2" t="s">
        <v>20</v>
      </c>
      <c r="F13" s="3"/>
      <c r="G13" s="3"/>
      <c r="H13" s="17">
        <v>7</v>
      </c>
      <c r="I13" s="17">
        <v>25</v>
      </c>
      <c r="J13" s="13">
        <f>H13/I13</f>
        <v>0.28000000000000003</v>
      </c>
      <c r="K13" s="7"/>
    </row>
    <row r="14" spans="2:11" x14ac:dyDescent="0.45">
      <c r="B14" s="5"/>
      <c r="C14" s="6"/>
      <c r="D14" s="6"/>
      <c r="E14" s="8" t="s">
        <v>21</v>
      </c>
      <c r="F14" s="9"/>
      <c r="G14" s="9"/>
      <c r="H14" s="30"/>
      <c r="I14" s="31"/>
      <c r="J14" s="18">
        <v>0.5</v>
      </c>
      <c r="K14" s="7"/>
    </row>
    <row r="15" spans="2:11" x14ac:dyDescent="0.45">
      <c r="B15" s="8"/>
      <c r="C15" s="9"/>
      <c r="D15" s="9"/>
      <c r="E15" s="9"/>
      <c r="F15" s="9"/>
      <c r="G15" s="9"/>
      <c r="H15" s="9"/>
      <c r="I15" s="9"/>
      <c r="J15" s="9"/>
      <c r="K15" s="10"/>
    </row>
    <row r="16" spans="2:11" ht="6" customHeight="1" x14ac:dyDescent="0.45"/>
    <row r="17" spans="2:11" x14ac:dyDescent="0.45">
      <c r="B17" s="2"/>
      <c r="C17" s="3"/>
      <c r="D17" s="3"/>
      <c r="E17" s="3"/>
      <c r="F17" s="3"/>
      <c r="G17" s="3"/>
      <c r="H17" s="3"/>
      <c r="I17" s="3"/>
      <c r="J17" s="3"/>
      <c r="K17" s="4"/>
    </row>
    <row r="18" spans="2:11" x14ac:dyDescent="0.45">
      <c r="B18" s="5"/>
      <c r="C18" s="6"/>
      <c r="D18" s="6"/>
      <c r="E18" s="6"/>
      <c r="F18" s="6"/>
      <c r="G18" s="6"/>
      <c r="H18" s="12" t="s">
        <v>3</v>
      </c>
      <c r="I18" s="12" t="s">
        <v>4</v>
      </c>
      <c r="J18" s="12" t="s">
        <v>39</v>
      </c>
      <c r="K18" s="7"/>
    </row>
    <row r="19" spans="2:11" x14ac:dyDescent="0.45">
      <c r="B19" s="5"/>
      <c r="C19" s="6"/>
      <c r="D19" s="6"/>
      <c r="E19" s="2" t="s">
        <v>22</v>
      </c>
      <c r="F19" s="3"/>
      <c r="G19" s="3"/>
      <c r="H19" s="19">
        <v>5</v>
      </c>
      <c r="I19" s="19">
        <v>14</v>
      </c>
      <c r="J19" s="13">
        <f>H19/I19</f>
        <v>0.35714285714285715</v>
      </c>
      <c r="K19" s="7"/>
    </row>
    <row r="20" spans="2:11" x14ac:dyDescent="0.45">
      <c r="B20" s="5"/>
      <c r="C20" s="6"/>
      <c r="D20" s="6"/>
      <c r="E20" s="8" t="s">
        <v>23</v>
      </c>
      <c r="F20" s="9"/>
      <c r="G20" s="9"/>
      <c r="H20" s="30"/>
      <c r="I20" s="31"/>
      <c r="J20" s="20">
        <v>0.4</v>
      </c>
      <c r="K20" s="7"/>
    </row>
    <row r="21" spans="2:11" ht="6.75" customHeight="1" x14ac:dyDescent="0.45">
      <c r="B21" s="5"/>
      <c r="C21" s="6"/>
      <c r="D21" s="6"/>
      <c r="E21" s="6"/>
      <c r="F21" s="6"/>
      <c r="G21" s="6"/>
      <c r="H21" s="11"/>
      <c r="I21" s="11"/>
      <c r="J21" s="11"/>
      <c r="K21" s="7"/>
    </row>
    <row r="22" spans="2:11" x14ac:dyDescent="0.45">
      <c r="B22" s="5"/>
      <c r="C22" s="6"/>
      <c r="D22" s="6"/>
      <c r="E22" s="2" t="s">
        <v>11</v>
      </c>
      <c r="F22" s="3"/>
      <c r="G22" s="3"/>
      <c r="H22" s="19">
        <v>2</v>
      </c>
      <c r="I22" s="19">
        <v>12</v>
      </c>
      <c r="J22" s="13">
        <f>H22/I22</f>
        <v>0.16666666666666666</v>
      </c>
      <c r="K22" s="7"/>
    </row>
    <row r="23" spans="2:11" x14ac:dyDescent="0.45">
      <c r="B23" s="5"/>
      <c r="C23" s="6"/>
      <c r="D23" s="6"/>
      <c r="E23" s="8" t="s">
        <v>24</v>
      </c>
      <c r="F23" s="9"/>
      <c r="G23" s="9"/>
      <c r="H23" s="30"/>
      <c r="I23" s="31"/>
      <c r="J23" s="20">
        <v>0.45</v>
      </c>
      <c r="K23" s="7"/>
    </row>
    <row r="24" spans="2:11" ht="6.75" customHeight="1" x14ac:dyDescent="0.45">
      <c r="B24" s="5"/>
      <c r="C24" s="6"/>
      <c r="D24" s="6"/>
      <c r="E24" s="6"/>
      <c r="F24" s="6"/>
      <c r="G24" s="6"/>
      <c r="H24" s="11"/>
      <c r="I24" s="11"/>
      <c r="J24" s="11"/>
      <c r="K24" s="7"/>
    </row>
    <row r="25" spans="2:11" x14ac:dyDescent="0.45">
      <c r="B25" s="5"/>
      <c r="C25" s="6"/>
      <c r="D25" s="6"/>
      <c r="E25" s="2" t="s">
        <v>12</v>
      </c>
      <c r="F25" s="3"/>
      <c r="G25" s="3"/>
      <c r="H25" s="19">
        <v>2</v>
      </c>
      <c r="I25" s="19">
        <v>6</v>
      </c>
      <c r="J25" s="13">
        <f>H25/I25</f>
        <v>0.33333333333333331</v>
      </c>
      <c r="K25" s="7"/>
    </row>
    <row r="26" spans="2:11" x14ac:dyDescent="0.45">
      <c r="B26" s="5"/>
      <c r="C26" s="6"/>
      <c r="D26" s="6"/>
      <c r="E26" s="8" t="s">
        <v>25</v>
      </c>
      <c r="F26" s="9"/>
      <c r="G26" s="9"/>
      <c r="H26" s="30"/>
      <c r="I26" s="31"/>
      <c r="J26" s="20">
        <v>0.5</v>
      </c>
      <c r="K26" s="7"/>
    </row>
    <row r="27" spans="2:11" x14ac:dyDescent="0.45">
      <c r="B27" s="8"/>
      <c r="C27" s="9"/>
      <c r="D27" s="9"/>
      <c r="E27" s="9"/>
      <c r="F27" s="9"/>
      <c r="G27" s="9"/>
      <c r="H27" s="9"/>
      <c r="I27" s="9"/>
      <c r="J27" s="9"/>
      <c r="K27" s="10"/>
    </row>
    <row r="28" spans="2:11" ht="6.75" customHeight="1" x14ac:dyDescent="0.45"/>
    <row r="29" spans="2:11" x14ac:dyDescent="0.45">
      <c r="B29" s="2"/>
      <c r="C29" s="3"/>
      <c r="D29" s="3"/>
      <c r="E29" s="3"/>
      <c r="F29" s="3"/>
      <c r="G29" s="3"/>
      <c r="H29" s="3"/>
      <c r="I29" s="3"/>
      <c r="J29" s="3"/>
      <c r="K29" s="4"/>
    </row>
    <row r="30" spans="2:11" x14ac:dyDescent="0.45">
      <c r="B30" s="5"/>
      <c r="C30" s="6"/>
      <c r="D30" s="6"/>
      <c r="E30" s="6"/>
      <c r="F30" s="6"/>
      <c r="G30" s="6"/>
      <c r="H30" s="12" t="s">
        <v>3</v>
      </c>
      <c r="I30" s="12" t="s">
        <v>4</v>
      </c>
      <c r="J30" s="12" t="s">
        <v>39</v>
      </c>
      <c r="K30" s="7"/>
    </row>
    <row r="31" spans="2:11" x14ac:dyDescent="0.45">
      <c r="B31" s="5"/>
      <c r="C31" s="6"/>
      <c r="D31" s="6"/>
      <c r="E31" s="2" t="s">
        <v>26</v>
      </c>
      <c r="F31" s="3"/>
      <c r="G31" s="3"/>
      <c r="H31" s="21">
        <v>5</v>
      </c>
      <c r="I31" s="21">
        <v>14</v>
      </c>
      <c r="J31" s="13">
        <f>H31/I31</f>
        <v>0.35714285714285715</v>
      </c>
      <c r="K31" s="7"/>
    </row>
    <row r="32" spans="2:11" x14ac:dyDescent="0.45">
      <c r="B32" s="5"/>
      <c r="C32" s="6"/>
      <c r="D32" s="6"/>
      <c r="E32" s="8" t="s">
        <v>27</v>
      </c>
      <c r="F32" s="9"/>
      <c r="G32" s="9"/>
      <c r="H32" s="30"/>
      <c r="I32" s="31"/>
      <c r="J32" s="22">
        <v>0.5</v>
      </c>
      <c r="K32" s="7"/>
    </row>
    <row r="33" spans="2:11" ht="6.75" customHeight="1" x14ac:dyDescent="0.45">
      <c r="B33" s="5"/>
      <c r="C33" s="6"/>
      <c r="D33" s="6"/>
      <c r="E33" s="6"/>
      <c r="F33" s="6"/>
      <c r="G33" s="6"/>
      <c r="H33" s="11"/>
      <c r="I33" s="11"/>
      <c r="J33" s="11"/>
      <c r="K33" s="7"/>
    </row>
    <row r="34" spans="2:11" x14ac:dyDescent="0.45">
      <c r="B34" s="5"/>
      <c r="C34" s="6"/>
      <c r="D34" s="6"/>
      <c r="E34" s="2" t="s">
        <v>13</v>
      </c>
      <c r="F34" s="3"/>
      <c r="G34" s="3"/>
      <c r="H34" s="21">
        <v>8</v>
      </c>
      <c r="I34" s="21">
        <v>12</v>
      </c>
      <c r="J34" s="13">
        <f>H34/I34</f>
        <v>0.66666666666666663</v>
      </c>
      <c r="K34" s="7"/>
    </row>
    <row r="35" spans="2:11" x14ac:dyDescent="0.45">
      <c r="B35" s="5"/>
      <c r="C35" s="6"/>
      <c r="D35" s="6"/>
      <c r="E35" s="8" t="s">
        <v>14</v>
      </c>
      <c r="F35" s="9"/>
      <c r="G35" s="9"/>
      <c r="H35" s="30"/>
      <c r="I35" s="31"/>
      <c r="J35" s="22">
        <v>0.8</v>
      </c>
      <c r="K35" s="7"/>
    </row>
    <row r="36" spans="2:11" ht="6.75" customHeight="1" x14ac:dyDescent="0.45">
      <c r="B36" s="5"/>
      <c r="C36" s="6"/>
      <c r="D36" s="6"/>
      <c r="E36" s="6"/>
      <c r="F36" s="6"/>
      <c r="G36" s="6"/>
      <c r="H36" s="11"/>
      <c r="I36" s="11"/>
      <c r="J36" s="11"/>
      <c r="K36" s="7"/>
    </row>
    <row r="37" spans="2:11" x14ac:dyDescent="0.45">
      <c r="B37" s="5"/>
      <c r="C37" s="6"/>
      <c r="D37" s="6"/>
      <c r="E37" s="2" t="s">
        <v>15</v>
      </c>
      <c r="F37" s="3"/>
      <c r="G37" s="3"/>
      <c r="H37" s="21">
        <v>2</v>
      </c>
      <c r="I37" s="21">
        <v>6</v>
      </c>
      <c r="J37" s="13">
        <f>H37/I37</f>
        <v>0.33333333333333331</v>
      </c>
      <c r="K37" s="7"/>
    </row>
    <row r="38" spans="2:11" x14ac:dyDescent="0.45">
      <c r="B38" s="5"/>
      <c r="C38" s="6"/>
      <c r="D38" s="6"/>
      <c r="E38" s="8" t="s">
        <v>16</v>
      </c>
      <c r="F38" s="9"/>
      <c r="G38" s="9"/>
      <c r="H38" s="30"/>
      <c r="I38" s="31"/>
      <c r="J38" s="22">
        <v>0.5</v>
      </c>
      <c r="K38" s="7"/>
    </row>
    <row r="39" spans="2:11" x14ac:dyDescent="0.45">
      <c r="B39" s="8"/>
      <c r="C39" s="9"/>
      <c r="D39" s="9"/>
      <c r="E39" s="9"/>
      <c r="F39" s="9"/>
      <c r="G39" s="9"/>
      <c r="H39" s="9"/>
      <c r="I39" s="9"/>
      <c r="J39" s="9"/>
      <c r="K39" s="10"/>
    </row>
  </sheetData>
  <sheetProtection algorithmName="SHA-512" hashValue="tGic4nZFxGb0KZHRE5MwTlb+spijLDuL37T52lAE1MK7sA0lAmji5HDpDKc8C71mjfsFsCL0IivRi9QOU1Y/Hg==" saltValue="ZUqbF0TdChgaHSWwKEwlRg==" spinCount="100000" sheet="1" objects="1" scenarios="1"/>
  <mergeCells count="11">
    <mergeCell ref="H38:I38"/>
    <mergeCell ref="H8:I8"/>
    <mergeCell ref="H11:I11"/>
    <mergeCell ref="H14:I14"/>
    <mergeCell ref="B2:G2"/>
    <mergeCell ref="B3:G3"/>
    <mergeCell ref="H20:I20"/>
    <mergeCell ref="H23:I23"/>
    <mergeCell ref="H26:I26"/>
    <mergeCell ref="H32:I32"/>
    <mergeCell ref="H35:I35"/>
  </mergeCells>
  <pageMargins left="0.7" right="0.7" top="0.75" bottom="0.75" header="0.3" footer="0.3"/>
  <pageSetup paperSize="9" orientation="portrait" r:id="rId1"/>
  <headerFooter>
    <oddFooter>&amp;L&amp;"Arial,Regular"&amp;08&amp;K7F7F7FAmgen Proprietary - For Internal Use Only</oddFooter>
    <evenFooter>&amp;L&amp;"Arial,Regular"&amp;08&amp;K7F7F7FAmgen Proprietary - For Internal Use Only</evenFooter>
    <firstFooter>&amp;L&amp;"Arial,Regular"&amp;08&amp;K7F7F7FAmgen Proprietary - For Internal Use Only</first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82ad3a63-90ad-4a46-a3cb-757f4658e205" origin="userSelected">
  <element uid="f057fdcd-f1c4-417c-a7f8-9d10d102e03d" value=""/>
  <element uid="9036a7a1-5a4f-48d3-b24b-dfdab053dac9" value=""/>
  <element uid="03e9b10b-a1f9-4a88-9630-476473f62285" value=""/>
</sisl>
</file>

<file path=customXml/itemProps1.xml><?xml version="1.0" encoding="utf-8"?>
<ds:datastoreItem xmlns:ds="http://schemas.openxmlformats.org/officeDocument/2006/customXml" ds:itemID="{BA7D4AEC-6BCF-4344-AC0F-77489D476C87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Dashboard</vt:lpstr>
      <vt:lpstr>Input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Hill, Jane</dc:creator>
  <cp:keywords>*$%IU-*$%GenBus</cp:keywords>
  <cp:lastModifiedBy>COPPINS, Poppy</cp:lastModifiedBy>
  <dcterms:created xsi:type="dcterms:W3CDTF">2017-11-14T11:42:21Z</dcterms:created>
  <dcterms:modified xsi:type="dcterms:W3CDTF">2018-05-16T17:08:20Z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5533cb07-636f-4de7-9781-85672e0ea778</vt:lpwstr>
  </property>
  <property fmtid="{D5CDD505-2E9C-101B-9397-08002B2CF9AE}" pid="3" name="bjSaver">
    <vt:lpwstr>beIpe8LHCJpa3zj3D74pAPo0C3IJaXEL</vt:lpwstr>
  </property>
  <property fmtid="{D5CDD505-2E9C-101B-9397-08002B2CF9AE}" pid="4" name="bjDocumentLabelXML">
    <vt:lpwstr>&lt;?xml version="1.0" encoding="us-ascii"?&gt;&lt;sisl xmlns:xsi="http://www.w3.org/2001/XMLSchema-instance" xmlns:xsd="http://www.w3.org/2001/XMLSchema" sislVersion="0" policy="82ad3a63-90ad-4a46-a3cb-757f4658e205" origin="userSelected" xmlns="http://www.boldonj</vt:lpwstr>
  </property>
  <property fmtid="{D5CDD505-2E9C-101B-9397-08002B2CF9AE}" pid="5" name="bjDocumentLabelXML-0">
    <vt:lpwstr>ames.com/2008/01/sie/internal/label"&gt;&lt;element uid="f057fdcd-f1c4-417c-a7f8-9d10d102e03d" value="" /&gt;&lt;element uid="9036a7a1-5a4f-48d3-b24b-dfdab053dac9" value="" /&gt;&lt;element uid="03e9b10b-a1f9-4a88-9630-476473f62285" value="" /&gt;&lt;/sisl&gt;</vt:lpwstr>
  </property>
  <property fmtid="{D5CDD505-2E9C-101B-9397-08002B2CF9AE}" pid="6" name="bjDocumentSecurityLabel">
    <vt:lpwstr>Internal Use Only - General Business</vt:lpwstr>
  </property>
  <property fmtid="{D5CDD505-2E9C-101B-9397-08002B2CF9AE}" pid="7" name="bjLeftFooterLabel-first">
    <vt:lpwstr>&amp;"Arial,Regular"&amp;08&amp;K7F7F7FAmgen Proprietary - For Internal Use Only</vt:lpwstr>
  </property>
  <property fmtid="{D5CDD505-2E9C-101B-9397-08002B2CF9AE}" pid="8" name="bjLeftFooterLabel-even">
    <vt:lpwstr>&amp;"Arial,Regular"&amp;08&amp;K7F7F7FAmgen Proprietary - For Internal Use Only</vt:lpwstr>
  </property>
  <property fmtid="{D5CDD505-2E9C-101B-9397-08002B2CF9AE}" pid="9" name="bjLeftFooterLabel">
    <vt:lpwstr>&amp;"Arial,Regular"&amp;08&amp;K7F7F7FAmgen Proprietary - For Internal Use Only</vt:lpwstr>
  </property>
</Properties>
</file>